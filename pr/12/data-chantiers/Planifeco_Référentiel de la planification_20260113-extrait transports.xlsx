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hidePivotFieldList="1"/>
  <xr:revisionPtr revIDLastSave="0" documentId="8_{DBBF1741-69F2-498B-A8BB-A60DF1C9A375}" xr6:coauthVersionLast="47" xr6:coauthVersionMax="47" xr10:uidLastSave="{00000000-0000-0000-0000-000000000000}"/>
  <bookViews>
    <workbookView xWindow="-120" yWindow="-120" windowWidth="25440" windowHeight="15270" tabRatio="330" activeTab="1" xr2:uid="{00000000-000D-0000-FFFF-FFFF00000000}"/>
  </bookViews>
  <sheets>
    <sheet name="Introduction" sheetId="19" r:id="rId1"/>
    <sheet name="Engagements" sheetId="24" r:id="rId2"/>
    <sheet name="Engagements transport" sheetId="1" r:id="rId3"/>
    <sheet name="Leviers" sheetId="5" r:id="rId4"/>
    <sheet name="Synthèse chantiers-leviers" sheetId="16" r:id="rId5"/>
    <sheet name="Grist Engagements" sheetId="23" r:id="rId6"/>
    <sheet name="Grist chantiers-leviers" sheetId="21" r:id="rId7"/>
  </sheets>
  <externalReferences>
    <externalReference r:id="rId8"/>
  </externalReferences>
  <definedNames>
    <definedName name="__xlnm._FilterDatabase" localSheetId="1">#REF!</definedName>
    <definedName name="__xlnm._FilterDatabase">#REF!</definedName>
    <definedName name="_xlnm._FilterDatabase" localSheetId="6" hidden="1">'Grist chantiers-leviers'!$A$1:$A$19</definedName>
    <definedName name="_xlnm._FilterDatabase" localSheetId="3" hidden="1">Leviers!$A$1:$BA$28</definedName>
    <definedName name="_xlnm.Print_Area" localSheetId="0">Introduction!$A$1:$B$5</definedName>
  </definedNames>
  <calcPr calcId="191029"/>
  <pivotCaches>
    <pivotCache cacheId="4" r:id="rId9"/>
    <pivotCache cacheId="5" r:id="rId10"/>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5" i="5" l="1"/>
  <c r="AD25" i="5"/>
  <c r="AK25" i="5"/>
  <c r="AW25" i="5"/>
  <c r="J2" i="23" l="1"/>
  <c r="J3" i="23"/>
  <c r="J4" i="23"/>
  <c r="J5" i="23"/>
  <c r="J7" i="23"/>
  <c r="J8" i="23"/>
  <c r="J9" i="23"/>
  <c r="J11" i="23"/>
  <c r="J12" i="23"/>
  <c r="R2" i="23"/>
  <c r="R3" i="23"/>
  <c r="R4" i="23"/>
  <c r="R5" i="23"/>
  <c r="R6" i="23"/>
  <c r="R7" i="23"/>
  <c r="R8" i="23"/>
  <c r="R9" i="23"/>
  <c r="R10" i="23"/>
  <c r="R11" i="23"/>
  <c r="R12" i="23"/>
  <c r="R13" i="23"/>
  <c r="Q2" i="23"/>
  <c r="Q3" i="23"/>
  <c r="Q4" i="23"/>
  <c r="Q5" i="23"/>
  <c r="Q6" i="23"/>
  <c r="Q7" i="23"/>
  <c r="Q8" i="23"/>
  <c r="Q9" i="23"/>
  <c r="Q10" i="23"/>
  <c r="Q11" i="23"/>
  <c r="Q12" i="23"/>
  <c r="Q13" i="23"/>
  <c r="P2" i="23"/>
  <c r="P3" i="23"/>
  <c r="P4" i="23"/>
  <c r="P5" i="23"/>
  <c r="P6" i="23"/>
  <c r="P7" i="23"/>
  <c r="P8" i="23"/>
  <c r="P9" i="23"/>
  <c r="P10" i="23"/>
  <c r="P11" i="23"/>
  <c r="P12" i="23"/>
  <c r="P13" i="23"/>
  <c r="O2" i="23"/>
  <c r="O3" i="23"/>
  <c r="O4" i="23"/>
  <c r="O5" i="23"/>
  <c r="O6" i="23"/>
  <c r="O7" i="23"/>
  <c r="O8" i="23"/>
  <c r="O9" i="23"/>
  <c r="O10" i="23"/>
  <c r="O11" i="23"/>
  <c r="O12" i="23"/>
  <c r="O13" i="23"/>
  <c r="N2" i="23"/>
  <c r="N3" i="23"/>
  <c r="N4" i="23"/>
  <c r="N5" i="23"/>
  <c r="N6" i="23"/>
  <c r="N7" i="23"/>
  <c r="N8" i="23"/>
  <c r="N9" i="23"/>
  <c r="N10" i="23"/>
  <c r="N11" i="23"/>
  <c r="N12" i="23"/>
  <c r="N13" i="23"/>
  <c r="M2" i="23"/>
  <c r="M3" i="23"/>
  <c r="M4" i="23"/>
  <c r="M5" i="23"/>
  <c r="M6" i="23"/>
  <c r="M7" i="23"/>
  <c r="M8" i="23"/>
  <c r="M9" i="23"/>
  <c r="M10" i="23"/>
  <c r="M11" i="23"/>
  <c r="M12" i="23"/>
  <c r="M13" i="23"/>
  <c r="L2" i="23"/>
  <c r="L3" i="23"/>
  <c r="L4" i="23"/>
  <c r="L5" i="23"/>
  <c r="L6" i="23"/>
  <c r="L7" i="23"/>
  <c r="L8" i="23"/>
  <c r="L9" i="23"/>
  <c r="L10" i="23"/>
  <c r="L11" i="23"/>
  <c r="L12" i="23"/>
  <c r="L13" i="23"/>
  <c r="K2" i="23"/>
  <c r="K3" i="23"/>
  <c r="K4" i="23"/>
  <c r="K5" i="23"/>
  <c r="K6" i="23"/>
  <c r="J6" i="23" s="1"/>
  <c r="K7" i="23"/>
  <c r="K8" i="23"/>
  <c r="K9" i="23"/>
  <c r="K10" i="23"/>
  <c r="J10" i="23" s="1"/>
  <c r="K11" i="23"/>
  <c r="K12" i="23"/>
  <c r="K13" i="23"/>
  <c r="J13" i="23" s="1"/>
  <c r="D3" i="21"/>
  <c r="D4" i="21"/>
  <c r="D5" i="21"/>
  <c r="D6" i="21"/>
  <c r="D7" i="21"/>
  <c r="D8" i="21"/>
  <c r="D9" i="21"/>
  <c r="D10" i="21"/>
  <c r="D11" i="21"/>
  <c r="D12" i="21"/>
  <c r="D13" i="21"/>
  <c r="D14" i="21"/>
  <c r="D15" i="21"/>
  <c r="D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2" i="21"/>
  <c r="AK26" i="5"/>
  <c r="AK22" i="5"/>
  <c r="AW28" i="5"/>
  <c r="AW27" i="5"/>
  <c r="AW26" i="5"/>
  <c r="AW24" i="5"/>
  <c r="AW23" i="5"/>
  <c r="AW22" i="5"/>
  <c r="AW21" i="5"/>
  <c r="AW20" i="5"/>
  <c r="AW19" i="5"/>
  <c r="AW18" i="5"/>
  <c r="AW17" i="5"/>
  <c r="AW16" i="5"/>
  <c r="AW15" i="5"/>
  <c r="AW14" i="5"/>
  <c r="AW13" i="5"/>
  <c r="AW12" i="5"/>
  <c r="AW11" i="5"/>
  <c r="AW10" i="5"/>
  <c r="AW9" i="5"/>
  <c r="AW8" i="5"/>
  <c r="AW7" i="5"/>
  <c r="AW6" i="5"/>
  <c r="AW5" i="5"/>
  <c r="AW4" i="5"/>
  <c r="AW3" i="5"/>
  <c r="AW2" i="5"/>
  <c r="AD26" i="5"/>
  <c r="AD22" i="5"/>
  <c r="I12" i="5"/>
  <c r="AD12" i="5"/>
  <c r="AK12" i="5"/>
  <c r="I26" i="5"/>
  <c r="I22" i="5"/>
  <c r="AK27" i="5"/>
  <c r="AK8" i="5"/>
  <c r="AD8" i="5"/>
  <c r="AD27" i="5"/>
  <c r="I8" i="5"/>
  <c r="I27" i="5"/>
  <c r="AD28" i="5" l="1"/>
  <c r="AD24" i="5"/>
  <c r="AD23" i="5"/>
  <c r="AD21" i="5"/>
  <c r="AD20" i="5"/>
  <c r="AD19" i="5"/>
  <c r="AD18" i="5"/>
  <c r="AD17" i="5"/>
  <c r="AD16" i="5"/>
  <c r="AD15" i="5"/>
  <c r="AD14" i="5"/>
  <c r="AD13" i="5"/>
  <c r="AD11" i="5"/>
  <c r="AD10" i="5"/>
  <c r="AD9" i="5"/>
  <c r="AD7" i="5"/>
  <c r="AD6" i="5"/>
  <c r="AD5" i="5"/>
  <c r="AD4" i="5"/>
  <c r="AD3" i="5"/>
  <c r="AD2" i="5"/>
  <c r="I28" i="5"/>
  <c r="I24" i="5"/>
  <c r="I23" i="5"/>
  <c r="I21" i="5"/>
  <c r="I20" i="5"/>
  <c r="I19" i="5"/>
  <c r="I18" i="5"/>
  <c r="I17" i="5"/>
  <c r="I16" i="5"/>
  <c r="I15" i="5"/>
  <c r="I14" i="5"/>
  <c r="I13" i="5"/>
  <c r="I11" i="5"/>
  <c r="I10" i="5"/>
  <c r="I9" i="5"/>
  <c r="I7" i="5"/>
  <c r="I6" i="5"/>
  <c r="I5" i="5"/>
  <c r="I4" i="5"/>
  <c r="I3" i="5"/>
  <c r="I2" i="5"/>
  <c r="AK24" i="5" l="1"/>
  <c r="AK16" i="5" l="1"/>
  <c r="AK28" i="5" l="1"/>
  <c r="AK23" i="5"/>
  <c r="AK21" i="5"/>
  <c r="AK20" i="5"/>
  <c r="AK19" i="5"/>
  <c r="AK18" i="5"/>
  <c r="AK17" i="5"/>
  <c r="AK15" i="5"/>
  <c r="AK14" i="5"/>
  <c r="AK13" i="5"/>
  <c r="AK11" i="5"/>
  <c r="AK10" i="5"/>
  <c r="AK9" i="5"/>
  <c r="AK7" i="5"/>
  <c r="AK6" i="5"/>
  <c r="AK5" i="5"/>
  <c r="AK4" i="5"/>
  <c r="AK3" i="5"/>
  <c r="AK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E1" authorId="0" shapeId="0" xr:uid="{00000000-0006-0000-0200-000001000000}">
      <text>
        <r>
          <rPr>
            <b/>
            <sz val="9"/>
            <color indexed="81"/>
            <rFont val="Tahoma"/>
            <family val="2"/>
          </rPr>
          <t>Auteur:</t>
        </r>
        <r>
          <rPr>
            <sz val="9"/>
            <color indexed="81"/>
            <rFont val="Tahoma"/>
            <family val="2"/>
          </rPr>
          <t xml:space="preserve">
3 = objectif premier du levier
1 = cobénéfice direct du levier</t>
        </r>
      </text>
    </comment>
    <comment ref="AF1" authorId="0" shapeId="0" xr:uid="{00000000-0006-0000-0200-000002000000}">
      <text>
        <r>
          <rPr>
            <b/>
            <sz val="9"/>
            <color indexed="81"/>
            <rFont val="Tahoma"/>
            <family val="2"/>
          </rPr>
          <t>Auteur:</t>
        </r>
        <r>
          <rPr>
            <sz val="9"/>
            <color indexed="81"/>
            <rFont val="Tahoma"/>
            <family val="2"/>
          </rPr>
          <t xml:space="preserve">
3 = objectif premier du levier
1 = cobénéfice direct du levier</t>
        </r>
      </text>
    </comment>
    <comment ref="AG1" authorId="0" shapeId="0" xr:uid="{00000000-0006-0000-0200-000003000000}">
      <text>
        <r>
          <rPr>
            <b/>
            <sz val="9"/>
            <color indexed="81"/>
            <rFont val="Tahoma"/>
            <family val="2"/>
          </rPr>
          <t>Auteur:</t>
        </r>
        <r>
          <rPr>
            <sz val="9"/>
            <color indexed="81"/>
            <rFont val="Tahoma"/>
            <family val="2"/>
          </rPr>
          <t xml:space="preserve">
3 = objectif premier du levier
1 = cobénéfice direct du levier</t>
        </r>
      </text>
    </comment>
    <comment ref="AH1" authorId="0" shapeId="0" xr:uid="{00000000-0006-0000-0200-000004000000}">
      <text>
        <r>
          <rPr>
            <b/>
            <sz val="9"/>
            <color indexed="81"/>
            <rFont val="Tahoma"/>
            <family val="2"/>
          </rPr>
          <t>Auteur:</t>
        </r>
        <r>
          <rPr>
            <sz val="9"/>
            <color indexed="81"/>
            <rFont val="Tahoma"/>
            <family val="2"/>
          </rPr>
          <t xml:space="preserve">
3 = objectif premier du levier
1 = cobénéfice direct du levier</t>
        </r>
      </text>
    </comment>
    <comment ref="AI1" authorId="0" shapeId="0" xr:uid="{00000000-0006-0000-0200-000005000000}">
      <text>
        <r>
          <rPr>
            <b/>
            <sz val="9"/>
            <color indexed="81"/>
            <rFont val="Tahoma"/>
            <family val="2"/>
          </rPr>
          <t>Auteur:</t>
        </r>
        <r>
          <rPr>
            <sz val="9"/>
            <color indexed="81"/>
            <rFont val="Tahoma"/>
            <family val="2"/>
          </rPr>
          <t xml:space="preserve">
3 = objectif premier du levier
1 = cobénéfice direct du levier</t>
        </r>
      </text>
    </comment>
    <comment ref="AJ1" authorId="0" shapeId="0" xr:uid="{00000000-0006-0000-0200-000006000000}">
      <text>
        <r>
          <rPr>
            <b/>
            <sz val="9"/>
            <color indexed="81"/>
            <rFont val="Tahoma"/>
            <family val="2"/>
          </rPr>
          <t>Auteur:</t>
        </r>
        <r>
          <rPr>
            <sz val="9"/>
            <color indexed="81"/>
            <rFont val="Tahoma"/>
            <family val="2"/>
          </rPr>
          <t xml:space="preserve">
3 = objectif premier du levier
1 = cobénéfice direct du levier</t>
        </r>
      </text>
    </comment>
    <comment ref="Y3" authorId="0" shapeId="0" xr:uid="{00000000-0006-0000-0200-00000A000000}">
      <text>
        <r>
          <rPr>
            <b/>
            <sz val="9"/>
            <color indexed="81"/>
            <rFont val="Tahoma"/>
            <family val="2"/>
          </rPr>
          <t>Auteur:</t>
        </r>
        <r>
          <rPr>
            <sz val="9"/>
            <color indexed="81"/>
            <rFont val="Tahoma"/>
            <family val="2"/>
          </rPr>
          <t xml:space="preserve">
Scindé vs SNBC afin d'avoir un objectif plus opérationnel</t>
        </r>
      </text>
    </comment>
    <comment ref="Z3" authorId="0" shapeId="0" xr:uid="{00000000-0006-0000-0200-00000B000000}">
      <text>
        <r>
          <rPr>
            <b/>
            <sz val="9"/>
            <color indexed="81"/>
            <rFont val="Tahoma"/>
            <family val="2"/>
          </rPr>
          <t>Auteur:</t>
        </r>
        <r>
          <rPr>
            <sz val="9"/>
            <color indexed="81"/>
            <rFont val="Tahoma"/>
            <family val="2"/>
          </rPr>
          <t xml:space="preserve">
Scindé</t>
        </r>
      </text>
    </comment>
    <comment ref="Y4" authorId="0" shapeId="0" xr:uid="{00000000-0006-0000-0200-00000C000000}">
      <text>
        <r>
          <rPr>
            <b/>
            <sz val="9"/>
            <color indexed="81"/>
            <rFont val="Tahoma"/>
            <family val="2"/>
          </rPr>
          <t>Auteur:</t>
        </r>
        <r>
          <rPr>
            <sz val="9"/>
            <color indexed="81"/>
            <rFont val="Tahoma"/>
            <family val="2"/>
          </rPr>
          <t xml:space="preserve">
Scindé vs SNBC afin d'avoir un objectif plus opérationnel</t>
        </r>
      </text>
    </comment>
    <comment ref="Z4" authorId="0" shapeId="0" xr:uid="{00000000-0006-0000-0200-00000D000000}">
      <text>
        <r>
          <rPr>
            <b/>
            <sz val="9"/>
            <color indexed="81"/>
            <rFont val="Tahoma"/>
            <family val="2"/>
          </rPr>
          <t>Auteur:</t>
        </r>
        <r>
          <rPr>
            <sz val="9"/>
            <color indexed="81"/>
            <rFont val="Tahoma"/>
            <family val="2"/>
          </rPr>
          <t xml:space="preserve">
Scindé</t>
        </r>
      </text>
    </comment>
    <comment ref="Y6" authorId="0" shapeId="0" xr:uid="{00000000-0006-0000-0200-00000F000000}">
      <text>
        <r>
          <rPr>
            <b/>
            <sz val="9"/>
            <color indexed="81"/>
            <rFont val="Tahoma"/>
            <family val="2"/>
          </rPr>
          <t>Auteur:</t>
        </r>
        <r>
          <rPr>
            <sz val="9"/>
            <color indexed="81"/>
            <rFont val="Tahoma"/>
            <family val="2"/>
          </rPr>
          <t xml:space="preserve">
Les deux roues sont distingués dans la SNBC mais leur impact marginal alourdit inutilement les graphiques</t>
        </r>
      </text>
    </comment>
    <comment ref="Z7" authorId="0" shapeId="0" xr:uid="{00000000-0006-0000-0200-000010000000}">
      <text>
        <r>
          <rPr>
            <b/>
            <sz val="9"/>
            <color indexed="81"/>
            <rFont val="Tahoma"/>
            <family val="2"/>
          </rPr>
          <t>Auteur:</t>
        </r>
        <r>
          <rPr>
            <sz val="9"/>
            <color indexed="81"/>
            <rFont val="Tahoma"/>
            <family val="2"/>
          </rPr>
          <t xml:space="preserve">
scindé</t>
        </r>
      </text>
    </comment>
    <comment ref="Z9" authorId="0" shapeId="0" xr:uid="{00000000-0006-0000-0200-000012000000}">
      <text>
        <r>
          <rPr>
            <b/>
            <sz val="9"/>
            <color indexed="81"/>
            <rFont val="Tahoma"/>
            <family val="2"/>
          </rPr>
          <t>Auteur:</t>
        </r>
        <r>
          <rPr>
            <sz val="9"/>
            <color indexed="81"/>
            <rFont val="Tahoma"/>
            <family val="2"/>
          </rPr>
          <t xml:space="preserve">
scindé</t>
        </r>
      </text>
    </comment>
    <comment ref="Z14" authorId="0" shapeId="0" xr:uid="{00000000-0006-0000-0200-000015000000}">
      <text>
        <r>
          <rPr>
            <b/>
            <sz val="9"/>
            <color indexed="81"/>
            <rFont val="Tahoma"/>
            <family val="2"/>
          </rPr>
          <t>Auteur:</t>
        </r>
        <r>
          <rPr>
            <sz val="9"/>
            <color indexed="81"/>
            <rFont val="Tahoma"/>
            <family val="2"/>
          </rPr>
          <t xml:space="preserve">
scindé</t>
        </r>
      </text>
    </comment>
    <comment ref="Z15" authorId="0" shapeId="0" xr:uid="{00000000-0006-0000-0200-000017000000}">
      <text>
        <r>
          <rPr>
            <b/>
            <sz val="9"/>
            <color indexed="81"/>
            <rFont val="Tahoma"/>
            <family val="2"/>
          </rPr>
          <t>Auteur:</t>
        </r>
        <r>
          <rPr>
            <sz val="9"/>
            <color indexed="81"/>
            <rFont val="Tahoma"/>
            <family val="2"/>
          </rPr>
          <t xml:space="preserve">
scindé</t>
        </r>
      </text>
    </comment>
    <comment ref="Z16" authorId="0" shapeId="0" xr:uid="{84EEBAD7-EA1E-4CCA-81FB-54EF0428570D}">
      <text>
        <r>
          <rPr>
            <b/>
            <sz val="9"/>
            <color indexed="81"/>
            <rFont val="Tahoma"/>
            <family val="2"/>
          </rPr>
          <t>Auteur:</t>
        </r>
        <r>
          <rPr>
            <sz val="9"/>
            <color indexed="81"/>
            <rFont val="Tahoma"/>
            <family val="2"/>
          </rPr>
          <t xml:space="preserve">
scindé</t>
        </r>
      </text>
    </comment>
    <comment ref="Y17" authorId="0" shapeId="0" xr:uid="{00000000-0006-0000-0200-000018000000}">
      <text>
        <r>
          <rPr>
            <b/>
            <sz val="9"/>
            <color indexed="81"/>
            <rFont val="Tahoma"/>
            <family val="2"/>
          </rPr>
          <t>Auteur:</t>
        </r>
        <r>
          <rPr>
            <sz val="9"/>
            <color indexed="81"/>
            <rFont val="Tahoma"/>
            <family val="2"/>
          </rPr>
          <t xml:space="preserve">
Ce levier était présenté différemment selon les versions du Mondrian, choix de nous aligner avec la SNBC (qui parle de "taux d'occupation")</t>
        </r>
      </text>
    </comment>
    <comment ref="Z17" authorId="0" shapeId="0" xr:uid="{00000000-0006-0000-0200-000019000000}">
      <text>
        <r>
          <rPr>
            <b/>
            <sz val="9"/>
            <color indexed="81"/>
            <rFont val="Tahoma"/>
            <family val="2"/>
          </rPr>
          <t>Auteur:</t>
        </r>
        <r>
          <rPr>
            <sz val="9"/>
            <color indexed="81"/>
            <rFont val="Tahoma"/>
            <family val="2"/>
          </rPr>
          <t xml:space="preserve">
scindé</t>
        </r>
      </text>
    </comment>
    <comment ref="Z18" authorId="0" shapeId="0" xr:uid="{00000000-0006-0000-0200-00001B000000}">
      <text>
        <r>
          <rPr>
            <b/>
            <sz val="9"/>
            <color indexed="81"/>
            <rFont val="Tahoma"/>
            <family val="2"/>
          </rPr>
          <t>Auteur:</t>
        </r>
        <r>
          <rPr>
            <sz val="9"/>
            <color indexed="81"/>
            <rFont val="Tahoma"/>
            <family val="2"/>
          </rPr>
          <t xml:space="preserve">
scindé</t>
        </r>
      </text>
    </comment>
    <comment ref="Z19" authorId="0" shapeId="0" xr:uid="{B105F386-583E-482F-B982-76A93BC64FCB}">
      <text>
        <r>
          <rPr>
            <b/>
            <sz val="9"/>
            <color indexed="81"/>
            <rFont val="Tahoma"/>
            <family val="2"/>
          </rPr>
          <t>Auteur:</t>
        </r>
        <r>
          <rPr>
            <sz val="9"/>
            <color indexed="81"/>
            <rFont val="Tahoma"/>
            <family val="2"/>
          </rPr>
          <t xml:space="preserve">
scindé</t>
        </r>
      </text>
    </comment>
    <comment ref="Y20" authorId="0" shapeId="0" xr:uid="{00000000-0006-0000-0200-00001C000000}">
      <text>
        <r>
          <rPr>
            <b/>
            <sz val="9"/>
            <color indexed="81"/>
            <rFont val="Tahoma"/>
            <family val="2"/>
          </rPr>
          <t>Auteur:</t>
        </r>
        <r>
          <rPr>
            <sz val="9"/>
            <color indexed="81"/>
            <rFont val="Tahoma"/>
            <family val="2"/>
          </rPr>
          <t xml:space="preserve">
Ce levier était présenté différemment selon les versions du Mondrian, choix de nous aligner avec la SNBC (qui parle d'efficacité énergétique)</t>
        </r>
      </text>
    </comment>
    <comment ref="Y21" authorId="0" shapeId="0" xr:uid="{00000000-0006-0000-0200-00001D000000}">
      <text>
        <r>
          <rPr>
            <b/>
            <sz val="9"/>
            <color indexed="81"/>
            <rFont val="Tahoma"/>
            <family val="2"/>
          </rPr>
          <t>Auteur:</t>
        </r>
        <r>
          <rPr>
            <sz val="9"/>
            <color indexed="81"/>
            <rFont val="Tahoma"/>
            <family val="2"/>
          </rPr>
          <t xml:space="preserve">
Choix de nous éloigner de la SNBC pour ne pas fermer la porte aux autres solutions de décarbonation</t>
        </r>
      </text>
    </comment>
    <comment ref="Z23" authorId="0" shapeId="0" xr:uid="{00000000-0006-0000-0200-000021000000}">
      <text>
        <r>
          <rPr>
            <b/>
            <sz val="9"/>
            <color indexed="81"/>
            <rFont val="Tahoma"/>
            <family val="2"/>
          </rPr>
          <t>Auteur:</t>
        </r>
        <r>
          <rPr>
            <sz val="9"/>
            <color indexed="81"/>
            <rFont val="Tahoma"/>
            <family val="2"/>
          </rPr>
          <t xml:space="preserve">
scindé</t>
        </r>
      </text>
    </comment>
    <comment ref="Z25" authorId="0" shapeId="0" xr:uid="{00000000-0006-0000-0200-000023000000}">
      <text>
        <r>
          <rPr>
            <b/>
            <sz val="9"/>
            <color indexed="81"/>
            <rFont val="Tahoma"/>
            <family val="2"/>
          </rPr>
          <t>Auteur:</t>
        </r>
        <r>
          <rPr>
            <sz val="9"/>
            <color indexed="81"/>
            <rFont val="Tahoma"/>
            <family val="2"/>
          </rPr>
          <t xml:space="preserve">
scindé</t>
        </r>
      </text>
    </comment>
    <comment ref="Z28" authorId="0" shapeId="0" xr:uid="{00000000-0006-0000-0200-000025000000}">
      <text>
        <r>
          <rPr>
            <b/>
            <sz val="9"/>
            <color indexed="81"/>
            <rFont val="Tahoma"/>
            <family val="2"/>
          </rPr>
          <t>Auteur:</t>
        </r>
        <r>
          <rPr>
            <sz val="9"/>
            <color indexed="81"/>
            <rFont val="Tahoma"/>
            <family val="2"/>
          </rPr>
          <t xml:space="preserve">
scindé</t>
        </r>
      </text>
    </comment>
  </commentList>
</comments>
</file>

<file path=xl/sharedStrings.xml><?xml version="1.0" encoding="utf-8"?>
<sst xmlns="http://schemas.openxmlformats.org/spreadsheetml/2006/main" count="887" uniqueCount="607">
  <si>
    <t>Thème</t>
  </si>
  <si>
    <t>Industrie</t>
  </si>
  <si>
    <t>Energie</t>
  </si>
  <si>
    <t>Economie circulaire</t>
  </si>
  <si>
    <t>Axe</t>
  </si>
  <si>
    <t>Biodiversité</t>
  </si>
  <si>
    <t>Adaptation</t>
  </si>
  <si>
    <t>15% de la flotte de véhicules particuliers en 2030</t>
  </si>
  <si>
    <t>-4% de distance moyenne parcourue par voiture par an entre 2019 et 2030</t>
  </si>
  <si>
    <t>Covoiturage</t>
  </si>
  <si>
    <t>Multiplication par 3 des trajets covoiturés en 2030 par rapport à aujourd'hui</t>
  </si>
  <si>
    <t>-7% au L/100km sur la flotte de véhicules particuliers thermiques entre 2019 et 2030</t>
  </si>
  <si>
    <t>12% de taux d'incorporation de biocarburant en 2030</t>
  </si>
  <si>
    <t xml:space="preserve">13% de la flotte de poids lourds et véhicules légers utilitaires en 2030 </t>
  </si>
  <si>
    <t>Efficacité logistique</t>
  </si>
  <si>
    <t xml:space="preserve">Augmentation de 7% du taux de remplissage moyen des véhicules lourds </t>
  </si>
  <si>
    <t>Eau</t>
  </si>
  <si>
    <t>Verdir le secteur aérien</t>
  </si>
  <si>
    <t>Réduire les déplacements de poids lourds pour les marchandises</t>
  </si>
  <si>
    <t>Verdir les ports et les flottes</t>
  </si>
  <si>
    <t>Efficacité des navires</t>
  </si>
  <si>
    <t xml:space="preserve">Hausse du trafic des transports en commun de 2% /an en moyenne entre 2019 et 2030
Multiplication par 4 de l'usage du vélo entre 2019 et 2030 </t>
  </si>
  <si>
    <t>Objets correspondants</t>
  </si>
  <si>
    <t>Carburants durables pour l’aviation</t>
  </si>
  <si>
    <t>Maitrise de la demande de transport</t>
  </si>
  <si>
    <t>biocarburants/H2</t>
  </si>
  <si>
    <t>Aides à l’électrification, éco-contribution des chargeurs et obligations de verdissement des flottes, déploiement des bornes de recharge</t>
  </si>
  <si>
    <t>Carburants maritimes durables ; déploiement d’énergies décarbonées dans les ports</t>
  </si>
  <si>
    <t>Pollution / santé</t>
  </si>
  <si>
    <t>Oui</t>
  </si>
  <si>
    <t>Non</t>
  </si>
  <si>
    <t>Report modal vers TC et vélo</t>
  </si>
  <si>
    <t>Efficacité des aéronefs</t>
  </si>
  <si>
    <t>Carburants d’aviation durables</t>
  </si>
  <si>
    <t>Maîtrise du trafic aérien</t>
  </si>
  <si>
    <t xml:space="preserve">
Décarbonation des transports en commun</t>
  </si>
  <si>
    <t>Décarbonation des TC</t>
  </si>
  <si>
    <t>Sobriété marchandises</t>
  </si>
  <si>
    <t>Massification des flux, numérique, dernier kilomètre (Cyclo-logistique, logistique urbaine), Optimisation des chargements</t>
  </si>
  <si>
    <t>Biocarburants pour les VP</t>
  </si>
  <si>
    <t>Biocarburants maritimes</t>
  </si>
  <si>
    <t>Doublement de la part modale du ferroviaire entre 2019 et 2030
+50% de part modale du fluvial entre 2019 et 2030</t>
  </si>
  <si>
    <t>Développement du fret ferroviaire, développement du fret fluvial</t>
  </si>
  <si>
    <t>15% de la flotte de bus et cars décarbonés en 2030</t>
  </si>
  <si>
    <t>EE et chargement des PL (p. 7) ou Efficacité PL + chargement des PL (p. 6)</t>
  </si>
  <si>
    <t>Efficacité et carburants décarbonés des véhicules privés</t>
  </si>
  <si>
    <t>Vélo et transport en commun (report modal)</t>
  </si>
  <si>
    <t xml:space="preserve">Réduction des déplacements </t>
  </si>
  <si>
    <t>Véhicules électriques (particuliers)</t>
  </si>
  <si>
    <t>Bus et cars électriques</t>
  </si>
  <si>
    <t>Fret : carburants décarbonés et multimodalité</t>
  </si>
  <si>
    <t>Fret : Efficacité et sobriété logistique</t>
  </si>
  <si>
    <t>old : Stabilisation de la demande de fret à son niveau actuel
Nouvel objectif : légère hausse (3 ou 4% en 2030 % à 2019) cf TdB national</t>
  </si>
  <si>
    <t>6% de carburants durables incorporés en 2030</t>
  </si>
  <si>
    <t>Absent</t>
  </si>
  <si>
    <t>Doublons</t>
  </si>
  <si>
    <t>Total général</t>
  </si>
  <si>
    <t>VRAI</t>
  </si>
  <si>
    <t>Étiquettes de colonnes</t>
  </si>
  <si>
    <t>Valeurs</t>
  </si>
  <si>
    <t>Leviers mono-enjeu</t>
  </si>
  <si>
    <t>Leviers multi-enjeux</t>
  </si>
  <si>
    <t xml:space="preserve">Adaptation </t>
  </si>
  <si>
    <t xml:space="preserve">Eau </t>
  </si>
  <si>
    <t xml:space="preserve">Pollution / santé </t>
  </si>
  <si>
    <t xml:space="preserve">Biodiversité </t>
  </si>
  <si>
    <t>Mondrian 2.0 (en rouge, points d'attention)</t>
  </si>
  <si>
    <t>Sobriété transports</t>
  </si>
  <si>
    <t>Efficacité VP</t>
  </si>
  <si>
    <t>Efficacité aéronefs</t>
  </si>
  <si>
    <t>Biocarburants</t>
  </si>
  <si>
    <t>SAFs</t>
  </si>
  <si>
    <t>Maîtrise demande aérienne</t>
  </si>
  <si>
    <t>Electrification / H2 PL</t>
  </si>
  <si>
    <t>Report ferroviaire et fluvial</t>
  </si>
  <si>
    <t>Bio/e-carburants</t>
  </si>
  <si>
    <t>Biocarburants des navires</t>
  </si>
  <si>
    <t>* documents provisoires</t>
  </si>
  <si>
    <t>Sobriété mobilité</t>
  </si>
  <si>
    <t>Développement du covoiturage</t>
  </si>
  <si>
    <t>Biocarb. VP</t>
  </si>
  <si>
    <t>Décarb. TC</t>
  </si>
  <si>
    <t>Sobriété aérien</t>
  </si>
  <si>
    <t>Efficacité avions</t>
  </si>
  <si>
    <t>Amélioration de l'efficacité des aéronefs</t>
  </si>
  <si>
    <t>SAF</t>
  </si>
  <si>
    <t>Biocarburants pour fret routier</t>
  </si>
  <si>
    <t>Biocarb. PL</t>
  </si>
  <si>
    <t>Report modal fret</t>
  </si>
  <si>
    <t>Report modal du fret routier</t>
  </si>
  <si>
    <t>Sobriété fret</t>
  </si>
  <si>
    <t>Maîtrise de la demande de transport de marchandises</t>
  </si>
  <si>
    <t>Efficacité fret</t>
  </si>
  <si>
    <t>Biocarb. marins</t>
  </si>
  <si>
    <t>Efficacité navires</t>
  </si>
  <si>
    <t>Levier</t>
  </si>
  <si>
    <t>Chantier</t>
  </si>
  <si>
    <t>Transverse</t>
  </si>
  <si>
    <t>Se déplacer</t>
  </si>
  <si>
    <t>Produire</t>
  </si>
  <si>
    <t>Réduction des besoins de mobilité</t>
  </si>
  <si>
    <t>Accroitre notre production d'électricité décarbonée</t>
  </si>
  <si>
    <t>Efficacité des véhicules particuliers</t>
  </si>
  <si>
    <t>Verdir les véhicules individuels</t>
  </si>
  <si>
    <t>Sobriété des déplacements et changement de comportement, télétravail, "ville du quart d'heure"</t>
  </si>
  <si>
    <t>Enjeu d'exemplarité ? (Etat, collectivités territoriales)</t>
  </si>
  <si>
    <t>Transports</t>
  </si>
  <si>
    <t>Bâtiment</t>
  </si>
  <si>
    <t>Amélioration de l'efficacité énergétique des navires</t>
  </si>
  <si>
    <t>Accélérer la rénovation énergétique de l'habitat et des logements privés et sociaux</t>
  </si>
  <si>
    <t xml:space="preserve">Réduire l'usage de la voiture au profit des modes durables de déplacement des personnes </t>
  </si>
  <si>
    <t>Levier (intitulé usuel)</t>
  </si>
  <si>
    <t>Levier (intitulé court)</t>
  </si>
  <si>
    <t>Réduire d’ici 2030, par rapport à 2005, les émissions de respectivement : 77 % pour le dioxyde de soufre (SO2), 69 % pour les oxydes d’azote (NOx), 52 % pour les composés organiques volatils autres que le méthane (COVNM), 13 % pour l’ammoniac (NH3) et 57 % pour les particules fines (PM2,5)</t>
  </si>
  <si>
    <t>Code de l'environnement, article D222-38</t>
  </si>
  <si>
    <t>Étiquettes de lignes</t>
  </si>
  <si>
    <t>Baisse de 10 % du trafic de poids lourds entre 2019 et 2030 (en véhicules.km)</t>
  </si>
  <si>
    <t>Avion bas carbone, optimisation des trajectoires, réglementation utilisation APU</t>
  </si>
  <si>
    <t>-</t>
  </si>
  <si>
    <t>Structure générale</t>
  </si>
  <si>
    <t>Limites</t>
  </si>
  <si>
    <t>Pollution</t>
  </si>
  <si>
    <t>Atténuation climat</t>
  </si>
  <si>
    <t>Enjeu de territorialisation?</t>
  </si>
  <si>
    <t>Objectifs du document</t>
  </si>
  <si>
    <t>Mobiliser la biomasse pour répondre aux besoins énergétiques non électrifiables</t>
  </si>
  <si>
    <t>Décarboner les procédés industriels le plus émissifs</t>
  </si>
  <si>
    <t>Tendre vers une alimentation saine et durable</t>
  </si>
  <si>
    <t>Réduire la dépendance aux intrants des cultures</t>
  </si>
  <si>
    <t>Rénover le parc tertiaire et verdir son exploitation</t>
  </si>
  <si>
    <t>Généraliser l'utilisation des sources renouvelables de chaleur et de froid via les réseaux</t>
  </si>
  <si>
    <t>Décarboner les sources d'énergie de l'industrie</t>
  </si>
  <si>
    <t>Réduire la consommation de ressources de l'industrie</t>
  </si>
  <si>
    <t>Renforcer le puits de carbone forestier</t>
  </si>
  <si>
    <t>Développer les services environnementaux en agriculture</t>
  </si>
  <si>
    <t>Développer les pratiques durables de construction et rénovation</t>
  </si>
  <si>
    <t>Développement des transports en commun</t>
  </si>
  <si>
    <t>Réduction besoins de mobilité</t>
  </si>
  <si>
    <t>Mobilités douces</t>
  </si>
  <si>
    <t>Transports co.</t>
  </si>
  <si>
    <t>Dév. des transports en commun</t>
  </si>
  <si>
    <t>Dév. des mobilités douces</t>
  </si>
  <si>
    <t>Déplacements de passagers totaux</t>
  </si>
  <si>
    <t>Source indicateur</t>
  </si>
  <si>
    <t>SDES, Bilan annuel des transports 2022 pour les années 2017 à 2022</t>
  </si>
  <si>
    <t>Notre environnement.gouv</t>
  </si>
  <si>
    <t>Déplacements de passagers en vélo [voyageurs-kilomètres]</t>
  </si>
  <si>
    <t>SDES</t>
  </si>
  <si>
    <t>Déplacements de passagers en transport collectif [voyageurs-kilomètres]</t>
  </si>
  <si>
    <t>Voitures particulières électriques en circulation dans le parc roulant [%]</t>
  </si>
  <si>
    <t>Part des autobus et autocars électriques dans le parc roulant [%]</t>
  </si>
  <si>
    <t>Part modale du transport ferroviaire + fluvial dans le transport terrestre de marchandises [%]</t>
  </si>
  <si>
    <t>Trafic aérien France [voyageuurs-kilomètres]</t>
  </si>
  <si>
    <t>DGAC</t>
  </si>
  <si>
    <t>Quantité de km-marchandises transportées [tonnes-kilomètres]</t>
  </si>
  <si>
    <t>Actions mises en œuvre ayant une contribution négative à ce levier</t>
  </si>
  <si>
    <t>Réduire l'impact environnemental des déchets produits</t>
  </si>
  <si>
    <t>Développer la consommation responsable</t>
  </si>
  <si>
    <t>CITEPA</t>
  </si>
  <si>
    <t>FAUX</t>
  </si>
  <si>
    <t>Mixte</t>
  </si>
  <si>
    <t>Nombre de Levier</t>
  </si>
  <si>
    <t>Nouveauté ?</t>
  </si>
  <si>
    <t>Quantité de déchets</t>
  </si>
  <si>
    <t>Actions mises en œuvre ayant une contribution positive à ce levier</t>
  </si>
  <si>
    <t>Evaluation de la contribution au levier</t>
  </si>
  <si>
    <t>Evaluation de la contribution au chantier</t>
  </si>
  <si>
    <t>SDES Dido</t>
  </si>
  <si>
    <t>Part d'énergie fossile (charbon et produits pétroliers+ gaz naturel PCI) dans la consommation finale énergétique de l'industrie</t>
  </si>
  <si>
    <t>SDES Dido (RSVERO, Benoit Pentina)</t>
  </si>
  <si>
    <t>Nombre de trajets par jour effectués en covoiturage intermédié (en millions)</t>
  </si>
  <si>
    <t>Registre des preuves de covoiturage</t>
  </si>
  <si>
    <t>Plan vélo et marche, mobilité des salariés, circulation apaisée en ville (appui aux collectivités)</t>
  </si>
  <si>
    <t xml:space="preserve"> covoiturage (services et aménagements)</t>
  </si>
  <si>
    <t>Incitation des particuliers (orientation vers des VP électriques et légers), leasing social, bornes de recharge VP, flottes d’entreprises, VUL</t>
  </si>
  <si>
    <t>Anticiper les impacts socio-économiques chroniques du changement climatique</t>
  </si>
  <si>
    <t>Elec. VP et 2RM</t>
  </si>
  <si>
    <t>Electrification des VP et deux roues</t>
  </si>
  <si>
    <t>Electrification VP
2 roues</t>
  </si>
  <si>
    <t>Voitures particulières électriques en circulation dans le parc roulant [%]
Part des véhicules électriques et hydrogène dans les immatriculations de deux-roues</t>
  </si>
  <si>
    <t>Electrification des VUL et PL</t>
  </si>
  <si>
    <t>Elec. VUL et PL</t>
  </si>
  <si>
    <t>Part des poids lourds électriques dans le parc roulant [%]
Part des véhicules utilitaires légers électriques dans le parc roulant [%]</t>
  </si>
  <si>
    <t>Développement des mobilités douces (vélo et marche)</t>
  </si>
  <si>
    <t>Atténuation (nationale)</t>
  </si>
  <si>
    <t>Réduire les fuites de gaz à effet de serre</t>
  </si>
  <si>
    <t>Matières premières</t>
  </si>
  <si>
    <t xml:space="preserve">Atténuation (nationale) </t>
  </si>
  <si>
    <t>Marginal</t>
  </si>
  <si>
    <t>Nature de l'écart avec Mondrian 2.0</t>
  </si>
  <si>
    <t>Leviers territoriaux (en rouge, points d'attention)</t>
  </si>
  <si>
    <t>Nature de l'écart avec territo hors GES</t>
  </si>
  <si>
    <t>Réorganisation</t>
  </si>
  <si>
    <t>Regroupements / scissions</t>
  </si>
  <si>
    <t>Efficacité des VUL et PL</t>
  </si>
  <si>
    <t>Efficacité VUL/PL</t>
  </si>
  <si>
    <t>(Tous)</t>
  </si>
  <si>
    <t>Indicateur document cadre [unité]</t>
  </si>
  <si>
    <t>Indicateur baromètre [unité]</t>
  </si>
  <si>
    <t>Manquant ?</t>
  </si>
  <si>
    <t>Autres indicateurs baromètre</t>
  </si>
  <si>
    <t>Citoyens ayant estimé leur empreinte carbone</t>
  </si>
  <si>
    <t>Répartition du parc de logement selon le statut : résidence principale, secondaire, vacant</t>
  </si>
  <si>
    <t>Pompes à chaleur fabriquées en France</t>
  </si>
  <si>
    <t>Emplois dans le BTP</t>
  </si>
  <si>
    <t>Formations dans le BTP</t>
  </si>
  <si>
    <t>Emissions de PM2,5 liéesà l'usage des bâtiments</t>
  </si>
  <si>
    <t>Emissions SO2 liées à l'usage des bâtiments</t>
  </si>
  <si>
    <t>Emissions NOx liées à l'usage des bâtiments</t>
  </si>
  <si>
    <t>Nombre de trajets quotidiens effectués en covoiturage (peu fiable)</t>
  </si>
  <si>
    <t>Nombre d’infrastructures de covoiturage</t>
  </si>
  <si>
    <t>Déplacements de passagers en train
Déplacements de passagers en transport collectif urbain</t>
  </si>
  <si>
    <t>Part modale des transports</t>
  </si>
  <si>
    <t>Kilomètres de pistes cyclables et voies vertes aménagées
Vélos figurant dans le fichier national</t>
  </si>
  <si>
    <t>Vélos assemblés en France</t>
  </si>
  <si>
    <t>Voitures particulières neuves vendues dont le poids à vide est supérieur à 1800kg (Véhicules Hybrides Rechargeables et Véhicules Electriques)
Voitures particulières neuves vendues dont le poids à vide est supérieur à 1600kg (Véhicules Thermiques et Véhicules Hybrides Non Rechargeables)
Poids moyen des voitures particulières neuves</t>
  </si>
  <si>
    <t>Part des autobus et autocars électriques dans le parc roulant</t>
  </si>
  <si>
    <t>Part des voitures particulières électriques dans les immatriculations annuelles (véhicules neufs)
Voitures particulières électriques et hydrogène achetées par type d'acquéreur
Points de recharge pour véhicules électriques ouverts au public
Total des points de recharge pour véhicules électriques
Taux d'acquisition de véhicules à faibles émissions (Véhicules Electriques ou Véhicules Hybrides Rechargeables) dans l'administration</t>
  </si>
  <si>
    <t xml:space="preserve">Quantité de km-marchandises transportées </t>
  </si>
  <si>
    <t>Consommation aux 100 km des poids lourds diesel</t>
  </si>
  <si>
    <t xml:space="preserve">Véhicules lourds à hydrogène en circulation 
Part de marché des autobus électriques dans les immatriculations annuelles neuves
Part des autobus et autocars au GNV / BioGNV dans le parc roulant
Part de marché de poids lourds GNV/ BioGNV dans les véhicules neufs
Part des poids lourds électriques dans les immatriculations annuelles neuves
Part des véhicules utilitaires légers électriques dans les immatriculations annuelles neuves
</t>
  </si>
  <si>
    <t>Emissions NOx du transport
Emissions PM2.5 du transport</t>
  </si>
  <si>
    <t xml:space="preserve">Taux d'incorporation des carburants durables pour le maritime </t>
  </si>
  <si>
    <t>Taux d'incorporation en énergie des biocarburants dans le gazole (routier)</t>
  </si>
  <si>
    <t>Taux d'incorporation en énergie des biocarburants dans l'essence (routier)</t>
  </si>
  <si>
    <t>Taux d'incorporation en énergie de carburants aériens durables</t>
  </si>
  <si>
    <t>Trafic aérien France</t>
  </si>
  <si>
    <t>Emissions unitaires / passager (aérien)</t>
  </si>
  <si>
    <t xml:space="preserve">Taux d’auto-approvisionnement en fruits et légumes frais (hors agrumes et fruits exotiques) </t>
  </si>
  <si>
    <t xml:space="preserve">Solde commercial des viandes et abats </t>
  </si>
  <si>
    <t>Taux d’autonomie en protéines végétales</t>
  </si>
  <si>
    <t>Volume production d'algues</t>
  </si>
  <si>
    <t>Solde commercial poissons et crustacés</t>
  </si>
  <si>
    <t>Friches recyclées dans le cadre du fond vert</t>
  </si>
  <si>
    <t xml:space="preserve">Emissions SO2 de l'industrie de l'énergie </t>
  </si>
  <si>
    <t>Production d'énergie primaire à partir de sources fossiles</t>
  </si>
  <si>
    <t>Part des sources fossiles dans la consommation d'énergie finale</t>
  </si>
  <si>
    <t xml:space="preserve">Electrification VUL
</t>
  </si>
  <si>
    <t>Electrification des véhicules utilitaires légers</t>
  </si>
  <si>
    <t>Electrification des transports en commun</t>
  </si>
  <si>
    <t>Développer l'élevage durable</t>
  </si>
  <si>
    <t>Empreinte carbone</t>
  </si>
  <si>
    <t>Déclinaison sectorielle &gt;&gt;</t>
  </si>
  <si>
    <t>Réduire les émissions nationales brutes du secteur à 92 Mt CO2e en 2030 et 0,6 Mt en 2050</t>
  </si>
  <si>
    <t xml:space="preserve">Augmentation de l’usage des transports en commun (bus, car, train) de 25 % entre 2019 et 2030, et de 55% d’ici 2050. </t>
  </si>
  <si>
    <t>Stabilisation (ou légère croissance) du nombre de kilomètres parcourus par an par personne tous modes confondus (hors transports internationaux), alors que celui-ci augmente en tendanciel</t>
  </si>
  <si>
    <t>Baisse de la consommation unitaire (par passager-km) de 14 % d’ici 2030 et de 33% d’ici à 2050 par rapport à 2019</t>
  </si>
  <si>
    <t xml:space="preserve">Hausse de la demande totale de transport de marchandises de 3,5% en 2030 par rapport à 2019, moins forte que dans un scénario tendanciel (7,5 %). En 2050, la hausse est de 11,5% par rapport à 2019. </t>
  </si>
  <si>
    <t>Souveraineté énergétique</t>
  </si>
  <si>
    <t>Agriculture / alimentation</t>
  </si>
  <si>
    <t>Émissions territoriales</t>
  </si>
  <si>
    <t>Infrastructures de transports alternatifs à la route (dont SERM et car express), massification via rabattement et densification des quartiers de gare, passe rail, titre unique, alternatives en zone peu dense, trains longues distances (y compris international)</t>
  </si>
  <si>
    <t>Incitations à la sobriété, trains internationaux</t>
  </si>
  <si>
    <t>Efficacité des VP neuves, développement des véhicules intermédiaires et de l'autopartage</t>
  </si>
  <si>
    <t>Déchets / ressources</t>
  </si>
  <si>
    <t>Prévenir les risques naturels dus au changement climatique</t>
  </si>
  <si>
    <t>Gérer les conséquences structurelles du changement climatique</t>
  </si>
  <si>
    <t>Sécuriser la continuité des services essentiels</t>
  </si>
  <si>
    <t>Développer des filières agricole, aquacole et halieutique résilientes aux mutations économiques et climatiques</t>
  </si>
  <si>
    <t>Référence planification</t>
  </si>
  <si>
    <t>Code de l'énergie, article L100-4</t>
  </si>
  <si>
    <t>Engagements</t>
  </si>
  <si>
    <t>Objectif du levier</t>
  </si>
  <si>
    <t>Objectif du chantier</t>
  </si>
  <si>
    <t>Préserver et restaurer les écosystèmes d'intérêt</t>
  </si>
  <si>
    <t>Verdir les véhicules routiers à usage professionnel</t>
  </si>
  <si>
    <t>Réduire les autres pressions sur la biodiversité</t>
  </si>
  <si>
    <t>Développement du fret ferroviaire (report modal)</t>
  </si>
  <si>
    <t>Développement du fret fluvial (report modal)</t>
  </si>
  <si>
    <t>Optimisation du chargements des poids lourds</t>
  </si>
  <si>
    <t>Incorporation des carburants durables (navires)</t>
  </si>
  <si>
    <t>Source de l'objectif du chantier</t>
  </si>
  <si>
    <t>Source de l'objectif du levier</t>
  </si>
  <si>
    <t>Périmètre</t>
  </si>
  <si>
    <t>Les premières expérimentations menées ont confirmé l’intérêt du référentiel comme base commune pour le pilotage, l’évaluation et la déclinaison de la planification écologique.
1.	Piloter la mise en œuvre de la planification écologique : le référentiel permet d’identifier les axes à renforcer et de structurer les analyses relatives à l’avancement de la transition écologique. Il est ainsi utile à la préparation des conseils de planification écologique ou aux revues sectorielles du SGPE et structure les actions de redevabilité (« baromètre »). 
2.	Évaluer la cohérence de l’action publique avec la planification écologique : le référentiel permet d’identifier et d’évaluer, au-delà des objectifs visés, les éventuels impacts collatéraux, positifs comme négatifs, des politiques et décisions publiques sur l’environnement. Il sera ainsi utilisé pour renforcer la qualité des évaluations des projets de loi, au titre de la circulaire n° 6502/SG relative à l’évaluation préalable des textes normatifs et à la maîtrise du flux réglementaire.
3.	Décliner la planification écologique dans les documents stratégiques : le référentiel facilite la prise en compte des stratégies environnementales dans l’évaluation du niveau d’ambition et d’exhaustivité environnementales des stratégies sectorielles (par exemple : santé, emplois-compétences) ou territoriales (par exemple, les SRADDET).</t>
  </si>
  <si>
    <r>
      <t xml:space="preserve">La </t>
    </r>
    <r>
      <rPr>
        <b/>
        <sz val="11"/>
        <color theme="1"/>
        <rFont val="Calibri"/>
        <family val="2"/>
        <scheme val="minor"/>
      </rPr>
      <t>prise en compte des stratégies environnementales</t>
    </r>
    <r>
      <rPr>
        <sz val="11"/>
        <color theme="1"/>
        <rFont val="Calibri"/>
        <family val="2"/>
        <scheme val="minor"/>
      </rPr>
      <t xml:space="preserve"> dans la décision publique se trouve aujourd’hui</t>
    </r>
    <r>
      <rPr>
        <b/>
        <sz val="11"/>
        <color theme="1"/>
        <rFont val="Calibri"/>
        <family val="2"/>
        <scheme val="minor"/>
      </rPr>
      <t xml:space="preserve"> entravée par la quantité, l’hétérogénéité et la complexité de ces stratégies</t>
    </r>
    <r>
      <rPr>
        <sz val="11"/>
        <color theme="1"/>
        <rFont val="Calibri"/>
        <family val="2"/>
        <scheme val="minor"/>
      </rPr>
      <t>. 
Pour répondre à cette difficulté, le secrétariat général à la planification écologique (SGPE) a engagé la construction d’un « référentiel de la planification écologique », qui synthétise les différents cadres de l’action environnementale. Il rend plus visibles les stratégies existantes et permettra in fine de renforcer le pilotage et la cohérence des politiques publiques avec les objectifs fixés.</t>
    </r>
  </si>
  <si>
    <r>
      <t xml:space="preserve">Le référentiel constitue une </t>
    </r>
    <r>
      <rPr>
        <b/>
        <sz val="11"/>
        <color theme="1"/>
        <rFont val="Calibri"/>
        <family val="2"/>
        <scheme val="minor"/>
      </rPr>
      <t>synthèse des stratégies environnementales</t>
    </r>
    <r>
      <rPr>
        <sz val="11"/>
        <color theme="1"/>
        <rFont val="Calibri"/>
        <family val="2"/>
        <scheme val="minor"/>
      </rPr>
      <t xml:space="preserve"> les plus récentes ou, à défaut, des textes légaux ou documents afférents, pour chacun des six axes de la taxonomie européenne :
1.	Atténuation : projet (dernière version publiée pour concertation) de Stratégie nationale bas-carbone 3 (SNBC) ;
2.	Adaptation : Plan national d’adaptation au changement climatique 3 (PNACC) ;
3.	Eau : Plan eau 2023, Loi sur l’eau et les milieux aquatiques (LEMA) ;
4.	Économie circulaire : Loi de transition énergétique pour la croissance verte (LTECV), Loi anti-gaspillage pour une économie circulaire (AGEC) ;
5.	Pollution : Stratégie nationale biodiversité 2030 (SNB), pour la pollution des sols ; [Plan national de réduction des émissions de polluants atmosphériques 2022-2025 (PREPA)] ;
6.	Biodiversité : Stratégie nationale biodiversité 2030.
Il intègre par ailleurs des documents-cadre précisant les modalités d’atteinte d’objectifs fixés dans les documents listés précédemment, en matière d’empreinte environnementale (loi « EGalim », Stratégie nationale pour l’alimentation, la nutrition et le climat) et de souveraineté (Programmation pluriannuelle de l’énergie et Stratégie nationale de mobilisation de la biomasse).</t>
    </r>
  </si>
  <si>
    <r>
      <t xml:space="preserve">Ce référentiel ne se limite pas à recenser les stratégies existantes mais en propose une lecture systémique, fondée sur une approche par objectifs et leviers d’action. Il apporte un langage commun permettant d’agréger et hiérarchiser leurs objectifs, de deux natures :
•	Les finalités : chacun des six axes de la taxonomie européenne est décliné, à ce stade, en un total de 12 « </t>
    </r>
    <r>
      <rPr>
        <b/>
        <sz val="11"/>
        <color theme="1"/>
        <rFont val="Calibri"/>
        <family val="2"/>
        <scheme val="minor"/>
      </rPr>
      <t>engagements</t>
    </r>
    <r>
      <rPr>
        <sz val="11"/>
        <color theme="1"/>
        <rFont val="Calibri"/>
        <family val="2"/>
        <scheme val="minor"/>
      </rPr>
      <t xml:space="preserve"> » concrets (par exemple « réduire de 50 % les émissions de gaz à effet de serre d’ici 2030 ») associés à des références légales ou réglementaires (SNBC, PNACC, LTECV, etc.).
•	Les modes d’action : le respect de ces engagements s’appuie sur le déploiement de transformations tangibles, qui représentent une centaine de « </t>
    </r>
    <r>
      <rPr>
        <b/>
        <sz val="11"/>
        <color theme="1"/>
        <rFont val="Calibri"/>
        <family val="2"/>
        <scheme val="minor"/>
      </rPr>
      <t>leviers</t>
    </r>
    <r>
      <rPr>
        <sz val="11"/>
        <color theme="1"/>
        <rFont val="Calibri"/>
        <family val="2"/>
        <scheme val="minor"/>
      </rPr>
      <t xml:space="preserve"> » opérationnels (par exemple, « optimiser le chargement des poids lourds » ou « développer le fret ferroviaire »), regroupés en une trentaine de « </t>
    </r>
    <r>
      <rPr>
        <b/>
        <sz val="11"/>
        <color theme="1"/>
        <rFont val="Calibri"/>
        <family val="2"/>
        <scheme val="minor"/>
      </rPr>
      <t>chantiers</t>
    </r>
    <r>
      <rPr>
        <sz val="11"/>
        <color theme="1"/>
        <rFont val="Calibri"/>
        <family val="2"/>
        <scheme val="minor"/>
      </rPr>
      <t xml:space="preserve"> » (par exemple, « réduire les déplacements de poids lourds »). Chacun est associé à un objectif chiffré, permettant d’évaluer le bon déploiement de l’action. NB : un levier peut contribuer à plusieurs engagements.
Ces « engagements », « chantiers » et « leviers » sont dénommés de manière aussi conforme que possible aux plans d’origine, avec les adaptations nécessaires à la qualité d’ensemble (élimination des redondances , harmonisation, etc.), en se concentrant sur les principales transformations tangibles et présentant un objectif concret.</t>
    </r>
  </si>
  <si>
    <t>Usages identifiés</t>
  </si>
  <si>
    <t xml:space="preserve">
</t>
  </si>
  <si>
    <t>L'approche systématique du référentiel fait ressortir les domaines pour lesquels des objectifs complémentaires pourraient permettre de mieux déployer les stratégies environnementales.
Par ailleurs, l'exigence de lisibilité requiert de mettre en lumière les enjeux environnementaux les plus critiques et les leviers les plus fondamentaux. Les éléments ne figurant pas dans ce référentiel ne sont pas pour autant ignorés par l'action publique.</t>
  </si>
  <si>
    <t>SNBC 3
Stabilisation (ou légère croissance) du nombre de kilomètres parcourus par an par personne tous modes confondus (hors transports internationaux)</t>
  </si>
  <si>
    <t>SNBC 3 :
Le nombre moyen de personnes par voiture pour les trajets courte distance (trajets de moins de 100 km) passe de 1,43 à 1,51 d’ici 2030, ce qui correspond à un triplement du nombre de trajets covoiturés entre 2019 et 2027 et à une poursuite de la trajectoire jusqu’à 2030. Au total, tous types de trajets confondus, le nombre de personnes par voiture passe de 1,65 en 2019 à 1,72 en 2030 puis à 1,82 en 2050</t>
  </si>
  <si>
    <t xml:space="preserve">SNBC 3 :
D'ici 2030, par rapport à 2019, une baisse de 24 % sur les vols intérieurs à l’hexagone contre une croissance de 16 % vers les outre mers et de 17 % pour le trafic international. A horizon 2050, le trafic baisse de 38 % par rapport à 2019 sur les liaisons intérieures à l’hexagone dans une logique de report modal vers le train ; croit de 22% sur les vols vers les DROM et de 17 % sur les vols à l’international. </t>
  </si>
  <si>
    <t>SNBC 3
Baisser la consommation unitaire (par passager-km) de 14 % d’ici 2030 et de 33% d’ici à 2050 par rapport à 2019</t>
  </si>
  <si>
    <t>SNBC 3
6% en 2030 et 20% en 2035, en cohérence avec le règlement européen RefuelEU, puis va au-delà à horizon 2050 avec un taux d’incorporation de 85% contre 70% dans Refuel</t>
  </si>
  <si>
    <t>SNBC 3
Hausse de la demande totale de transport de marchandises de 3,5% en 2030 par rapport à 2019, moins forte que dans un scénario tendanciel (7,5 %). En 2050, la hausse est de 11,5% par rapport à 2019.</t>
  </si>
  <si>
    <t>SNBC 3 :
La part modale du fret ferroviaire double entre 2019 et 2030 pour atteindre 18 %, puis croit jusqu’à 25% à horizon 2050</t>
  </si>
  <si>
    <t>SNBC 3 :
Augmentation de 50% de la part modale du fluvial d’ici 2030. La part modale du fluvial passe de 2 % actuellement à 3 % en 2030 et 4% en 2050.</t>
  </si>
  <si>
    <t xml:space="preserve">SNBC 3 
la consommation des VUL diesel neufs diminue de 10% d’ici 2030 par rapport à 2023. La consommation des PL diesel neufs diminue de 9 % d’ici 2030 par rapport à 2019. </t>
  </si>
  <si>
    <t>Maîtrise de la demande</t>
  </si>
  <si>
    <t>Explication levier</t>
  </si>
  <si>
    <t>SNBC 3 - hypothèses AMS - Evolution des circulations (Mds véhicules-kilomètre)</t>
  </si>
  <si>
    <t>Electrification des véhicules particuliers</t>
  </si>
  <si>
    <t xml:space="preserve">15% du parc de véhicules particuliers électrique, 100 % en 2050
</t>
  </si>
  <si>
    <t>Baisse de 3 % de consommation de kérosène fossile du secteur aérien d'ici 2030 et de 88 % d'ici 2050 par rapport à 2019 pour les soutes internationales</t>
  </si>
  <si>
    <t>SNBC 3 - hypothèses AMS - Consommation des soutes aériennes internationales (TWh)</t>
  </si>
  <si>
    <t>SNBC3 - hypothèses AMS - Consommation des soutes maritimes internationales</t>
  </si>
  <si>
    <t>Baisse de 34 % des carburants fossiles dans les soutes maritimes entre 2019 et 2030 puis de 100 % à horizon 2050</t>
  </si>
  <si>
    <t>10 % de la flotte de poids lourds électrifiée en 2030</t>
  </si>
  <si>
    <t>Electrification des poids lourds</t>
  </si>
  <si>
    <t>12% de la flotte de véhicules utilitaires légers électrifiée en 2030, 68 % en 2040, 99 % en 2050</t>
  </si>
  <si>
    <t xml:space="preserve">SNBC3 
le trafic maritime augmente de 1,5 % par an entre 2023 et 2035 puis se stabilise </t>
  </si>
  <si>
    <t>Passer de 10 % de carburants durables en 2023 à 13 % en 2030, 30 % en 2040 et 100 % en 2050</t>
  </si>
  <si>
    <t>SNBC 3 - Hypothèses AMS - Taux d'incorporation de biocarburants et carburants de synthèse (%)</t>
  </si>
  <si>
    <t>Incorporation de carburants durables (véhicules particuliers)</t>
  </si>
  <si>
    <t>Incorporation de carburants durables (aviation)</t>
  </si>
  <si>
    <t>Incorporation de carburants durables (transport routier)</t>
  </si>
  <si>
    <t>Levier promu ?</t>
  </si>
  <si>
    <t>Valeur repère communiquée aux COP</t>
  </si>
  <si>
    <t xml:space="preserve">Consommation annuelle des espaces naturels, agricoles et forestiers </t>
  </si>
  <si>
    <t>Tonnage de Déchets Non Dangereux Non Inertes (DNDNI) mis en décharge</t>
  </si>
  <si>
    <t>Tonnage total de déchets ménagers et assimiles rapportée au nombre d’habitants</t>
  </si>
  <si>
    <t xml:space="preserve">Taux de valorisation des déchets ménagers et assimilés </t>
  </si>
  <si>
    <t>Prélèvements en eau, tous usages confondus</t>
  </si>
  <si>
    <t>Volume de chaleur livrée par des réseaux de chaleur</t>
  </si>
  <si>
    <t>Emissions de GES de l'industrie</t>
  </si>
  <si>
    <t>Tonnes-kilomètres de marchandises transportées - tous modes confondus (région d'origine)
Tonnes-kilomètres de marchandises transportées - tous modes confondus (région d'arrivée)</t>
  </si>
  <si>
    <t>T.km de marchandises transportées par voie ferroviaire (région d'origine)
T.km de marchandises transportées par voie ferroviaire (région d'arrivée)</t>
  </si>
  <si>
    <t>T.km de marchandises transportées par voie fluviale (région d'origine)
T.km de marchandises transportées par voie fluviale (région d'arrivée)</t>
  </si>
  <si>
    <t xml:space="preserve">Part des véhicules électriques dans les immatriculations de VUL
Part des VUL électriques (et hydrogène) dans le parc </t>
  </si>
  <si>
    <t>Part des véhicules électriques (et hydrogène) dans les immatriculations de PL
Part des poids lourds électriques (et hydrogène) dans le parc roulant</t>
  </si>
  <si>
    <t>Part des véhicules électriques et hydrogène dans les immatriculations d'autobus
Part des véhicules électriques et hydrogène dans les immatriculations d'autocars
Part des bus électriques (et hydrogène) dans le parc
Part des cars électriques (et hydrogène) dans le parc</t>
  </si>
  <si>
    <t>Emissions moyennes de CO2/km des voitures particulières thermiques neuves vendues (+ voitures hybrides non-rechargeables)</t>
  </si>
  <si>
    <t>Distance annuelle moyenne parcourue chaque année par les voitures particulières de la région</t>
  </si>
  <si>
    <t>Part d'actifs en emploi selon le mode de déplacement principal utilisé</t>
  </si>
  <si>
    <t>Part des véhicules électriques et hydrogène dans les immatriculations de deux-roues
Part des véhicules électriques et hydrogène dans les immatriculations de véhicules particuliers
Part de voitures particulières électriques (Crit'Air E) dans le parc</t>
  </si>
  <si>
    <t>Linéaire d'aménagements cyclables du territoire pour 1000 habitants</t>
  </si>
  <si>
    <t>Part modale du transport ferroviaire dans le transport terrestre de marchandises</t>
  </si>
  <si>
    <t>Part modale du transport fluvial dans le transport terrestre de marchandises</t>
  </si>
  <si>
    <t>Part des véhicules utilitaires légers électriques dans le parc roulant</t>
  </si>
  <si>
    <t>Part des poids lourds électriques dans le parc roulant</t>
  </si>
  <si>
    <t>Etat des masses d'eau</t>
  </si>
  <si>
    <t>Qualité de l'eau potable</t>
  </si>
  <si>
    <t>Transport</t>
  </si>
  <si>
    <t>Réduire les prélèvements d'eau douce</t>
  </si>
  <si>
    <t>Améliorer l'approvisionnement en eau potable</t>
  </si>
  <si>
    <t>Mobiliser de nouvelles ressources en eau</t>
  </si>
  <si>
    <t>Décarboner les bâtiments et machines agricoles</t>
  </si>
  <si>
    <t>(vide)</t>
  </si>
  <si>
    <t>#N/A</t>
  </si>
  <si>
    <t>Secteur</t>
  </si>
  <si>
    <t>Ecosystèmes</t>
  </si>
  <si>
    <t>Services publics</t>
  </si>
  <si>
    <t>Aménagement</t>
  </si>
  <si>
    <t>Enjeux concernés &gt;&gt;</t>
  </si>
  <si>
    <t xml:space="preserve">Secteurs du levier &gt;&gt; </t>
  </si>
  <si>
    <t>Aménagement et services publics</t>
  </si>
  <si>
    <t>Augmentation du trafic maritime limitée à 1,5 % par an entre 2023 et 2035 puis stabilisation</t>
  </si>
  <si>
    <t>Axes convention citoyenne</t>
  </si>
  <si>
    <t>Agriculture</t>
  </si>
  <si>
    <t>Production et transformation d'énergie</t>
  </si>
  <si>
    <t>Alimentation / consommation / économie</t>
  </si>
  <si>
    <t>Atténuation</t>
  </si>
  <si>
    <t>A  définir</t>
  </si>
  <si>
    <t xml:space="preserve">A préciser dans le cadre des travaux sur le plan PREPA </t>
  </si>
  <si>
    <t>Réduction des rejets de polluants des navires</t>
  </si>
  <si>
    <t>A préciser dans le cadre des travaux sur le plan PREPA</t>
  </si>
  <si>
    <t>Polluants atmosphériques</t>
  </si>
  <si>
    <t>Polluants des sols</t>
  </si>
  <si>
    <t>Réduction de l'utilisation des véhicules particuliers les plus polluants</t>
  </si>
  <si>
    <t>Amélioration de l'efficacité environnementale (énergie, polluants) des véhicules particuliers neufs</t>
  </si>
  <si>
    <t>Amélioration de l'efficacité des véhicules utilitaires légers et des poids lourds neufs</t>
  </si>
  <si>
    <t>Développer l'électrification des quais et des navires</t>
  </si>
  <si>
    <t>Réduction de l'utilisation des groupes auxiliaires de puissance sur les plateformes aéroportuaires</t>
  </si>
  <si>
    <t>OK</t>
  </si>
  <si>
    <t>Qualité cible</t>
  </si>
  <si>
    <t>Intégrable baromètre</t>
  </si>
  <si>
    <t>Peu actualisé</t>
  </si>
  <si>
    <t>à ajouter</t>
  </si>
  <si>
    <t>KO</t>
  </si>
  <si>
    <t>Indicateur régionaux de la planification écologique (IRPE)</t>
  </si>
  <si>
    <t>à trouver</t>
  </si>
  <si>
    <t>Mesure nationale ?</t>
  </si>
  <si>
    <t>6% de carburants durables en 2030, 20% en 2035, en cohérence avec le règlement européen RefuelEU, 85% à horizon 2050 contre 70% dans Refuel</t>
  </si>
  <si>
    <t>Triplement de l’usage du vélo entre 2019 et 2030 (de 5,5 à 19 Mds voy-km) multiplication par 8 d’ici à 2050</t>
  </si>
  <si>
    <t>Augmentation du nombre de personnes par voiture de 1,65 en 2019 à 1,72 en 2030 puis à 1,82 en 2050</t>
  </si>
  <si>
    <t xml:space="preserve">D'ici 2030, par rapport à 2019, une baisse de 24 % sur les vols intérieurs à l’hexagone contre une croissance de 16 % vers les outre mers et de 17 % pour le trafic international. 
A horizon 2050, baisse de 38 % par rapport à 2019 sur les liaisons intérieures à l’hexagone dans une logique de report modal vers le train ; croissance de 22% sur les vols vers les DROM et de 17 % sur les vols à l’international. </t>
  </si>
  <si>
    <t>Doublement de la part modale du fret ferroviaire entre 2019 et 2030 pour atteindre 18 %, puis 25% à horizon 2050, en accord avec la stratégie nationale pour le fret ferroviaire.</t>
  </si>
  <si>
    <t>Augmentation de la part modale du fluvial de 2 % actuellement à 3 % en 2030 et 4% en 2050</t>
  </si>
  <si>
    <t>Etat des habitats d'intérêt communautaire</t>
  </si>
  <si>
    <t>Etat général de la biodiversité</t>
  </si>
  <si>
    <t>SNBC 3
Atteindre 51 % des véhicules utilitaires légers neufs électriques en 2030 (12 % du parc roulant)</t>
  </si>
  <si>
    <t xml:space="preserve">SNBC 3
La part de poids lourds (PL) électriques dans les immatriculations neuves augmente rapidement pour atteindre 50 % en 2030, conformément aux annonces des principaux constructeurs dans le cadre de la révision du règlement européen sur les émissions de CO2 des véhicules lourds neufs (règlement (UE) 2019/1242 révisé en 2024), ce qui porte la part des poids lourds électriques à 10% du parc roulant en 2030. A horizon 2050, 85% des poids lourds neufs sont électriques, 5% des poids lourds neufs fonctionnent à l’hydrogène et 10% fonctionnent à l’aide de biocarburants liquides. </t>
  </si>
  <si>
    <t xml:space="preserve">SNBC 3 :
Augmentation de l’usage des transports en commun (bus, car, train) de 25 % d’ici 2030 (19 Mds voy-km en 2030), et de 55% d’ici 2050. </t>
  </si>
  <si>
    <t>SNBC 3
la circulation en voitures-kilomètres baisse de 7,5 % entre 2019 et 2030 et de 13 % entre 2019 et 2050</t>
  </si>
  <si>
    <t>Baisse de la circulation en voitures-kilomètres de 7,5 % entre 2019 et 2030 et de 13 % entre 2019 et 2050</t>
  </si>
  <si>
    <t>SNBC 3 :
Forte augmentation de l’usage du vélo (de 5,5 à 19 Mds voy-km de 2019 à 2030 ; multiplication par 8 d’ici à 2050).</t>
  </si>
  <si>
    <t>SNBC 3 :
la part de voitures particulières électriques dans les ventes de véhicules neufs augmente rapidement, pour atteindre 66 % en 2030, ce qui porte la part de voitures électriques dans le parc roulant à 15 %. Dès 2035, conformément à la législation européenne (règlement (UE) 2023/851), la vente de véhicules légers neufs thermiques, y compris hybrides rechargeables et hybrides cesse, ce qui permet d’atteindre une électrification complète du parc en 2050.</t>
  </si>
  <si>
    <t>SNBC 3 - hypothèses AMS - extrapolation Parc roulant des véhicules particuliers (%) et Consommation moyenne réelle du parc roulant de véhicules particuliers 
SNBC 3 :
la consommation moyenne des voitures particulières thermiques neuves diminue de 9 % d’ici 2030 par rapport à 2023, soutenue par une orientation vers des véhicules plus légers, moins consommateurs, les éco-innovations et l’éco-conduite, et reste stable ensuite jusqu’à 2035. Celle des voitures électriques neuves s’améliore également.</t>
  </si>
  <si>
    <t>Référence légale (FR)</t>
  </si>
  <si>
    <t>Stratégie nationale bas-carbone 3*</t>
  </si>
  <si>
    <t>ID grist</t>
  </si>
  <si>
    <t>7a5bc4b1-9e7c-47c9-83b7-38897e6cba28</t>
  </si>
  <si>
    <t>dbb997f5-00ce-45db-b66f-90f68ab61e2d</t>
  </si>
  <si>
    <t>18d65d5b-5f9b-44a4-90fa-63ba85edcfd7</t>
  </si>
  <si>
    <t>f2774c99-3031-47c1-9c72-be321d7b0333</t>
  </si>
  <si>
    <t>32042d6d-b7fa-42cc-8ddc-b94e412adde8</t>
  </si>
  <si>
    <t>f06b6e72-7d4d-4643-a6c3-e8976a37f9cb</t>
  </si>
  <si>
    <t>eb08e12d-59ee-41f3-991d-07cdcaf587e6</t>
  </si>
  <si>
    <t>ca90d0d9-e8f2-4c67-a652-9f2c81c18f81</t>
  </si>
  <si>
    <t>ab3caeb7-7bdf-47ab-97c8-6ccf7852c524</t>
  </si>
  <si>
    <t>277da56b-c34e-4368-9366-a76c69ca5617</t>
  </si>
  <si>
    <t>12452ab2-7e86-4c6d-a610-e4e87d83a715
f00d6c3d-a4da-4306-ace2-db79b268ebdb</t>
  </si>
  <si>
    <t>d21e15eb-9618-4835-9546-98567e68e5fe</t>
  </si>
  <si>
    <t>1d2daa5a-f31b-48a5-82df-80b5b9a90464</t>
  </si>
  <si>
    <t>fc1dd5ed-b204-4bca-9ee6-8119e86ba690</t>
  </si>
  <si>
    <t>0b2f563a-bc5e-4fa9-943a-4a18bbced7c8</t>
  </si>
  <si>
    <t>2a25ba1b-bd27-42fd-ba30-29edb30c377c</t>
  </si>
  <si>
    <t>7e34337d-d323-4972-b13a-4cf7b57ac247</t>
  </si>
  <si>
    <t>Déplacements de passagers en vélo</t>
  </si>
  <si>
    <t>61c2f10a-da27-439e-8707-97f21203b33f</t>
  </si>
  <si>
    <t>660dfc7c-1ce5-49b6-9138-bfb8cba0f31c</t>
  </si>
  <si>
    <t>eeb63fcd-0317-4885-a5ed-a71950dd20fc</t>
  </si>
  <si>
    <t>4c0e1b46-28ad-4e68-a036-dce86d5d4091</t>
  </si>
  <si>
    <t>332f2a09-91a6-4674-a42d-debf59c03557</t>
  </si>
  <si>
    <t>a3ca5b83-a4aa-484e-a030-0b342f9b8535</t>
  </si>
  <si>
    <t>ID autres indicateurs</t>
  </si>
  <si>
    <t>A intégrer dans le baromètre v2</t>
  </si>
  <si>
    <t>Réduire la dépendance à la voiture</t>
  </si>
  <si>
    <t>ID transports</t>
  </si>
  <si>
    <t>ID agri/alim</t>
  </si>
  <si>
    <t>ID industrie</t>
  </si>
  <si>
    <t>ID bâtiments</t>
  </si>
  <si>
    <t>ID énergie</t>
  </si>
  <si>
    <t>ID déchets</t>
  </si>
  <si>
    <t>b411c553-b48f-42dc-a993-c7dc5775d684</t>
  </si>
  <si>
    <t>ID puits</t>
  </si>
  <si>
    <t>6db624da-3e96-4c37-9958-4b3971083847
3d7186d0-0c44-4528-b80e-300ce822143b</t>
  </si>
  <si>
    <t>f06b6e72-7d4d-4643-a6c3-e8976a37f9cb
928f9b35-ce46-4688-95ae-c9c5a5e2143e
2dc0e42f-8e16-415d-be02-4ebef606565d</t>
  </si>
  <si>
    <t>93843661-0511-4e40-a837-810ba4cc4be3
744be20b-efae-4383-b8ce-d8859ea94375
7b8606aa-b837-4c4f-b6de-3424647bfcfd
db7ccd05-9874-4ff9-934d-2f254f497b90
2bfac09d-ef00-4623-b3dc-6b11340abb5b</t>
  </si>
  <si>
    <t>16aa3f71-b128-4ed6-82d0-49bd6d3e0784</t>
  </si>
  <si>
    <t>24975eb5-6fdb-4976-9637-95c55b962129</t>
  </si>
  <si>
    <t>d70f4c43-1a9b-4d85-ace7-17768cf15286
a1b11fa8-f3bc-4c82-8504-61245b9b37db</t>
  </si>
  <si>
    <t>5c5afb35-301c-454e-bf37-beb67f9327ef</t>
  </si>
  <si>
    <t>f8b12113-9869-4cfe-b65d-7513ee3036f4</t>
  </si>
  <si>
    <t>d70f4c43-1a9b-4d85-ace7-17768cf15286
8e536b66-69a0-4924-9db5-b395d17672cf
bf0ee7f9-d4b1-4a79-98c1-e87e5576dfcf</t>
  </si>
  <si>
    <t>c69af914-ddf5-482c-86af-f9a0023eba77</t>
  </si>
  <si>
    <t>6575621c-cd3f-4a32-8ed6-cd652da68f2a</t>
  </si>
  <si>
    <t>8a79107f-67e6-493e-b2c1-df095af5abc2</t>
  </si>
  <si>
    <t>ae2f5f43-1f26-41d0-b2d7-ec1468177978
35a78fc1-48a7-4fd4-91a8-3f245267673e
d7370e36-8f0b-424a-812d-3a69f1f775cf</t>
  </si>
  <si>
    <t>46238b76-7d37-42e8-8ec3-02326d481934
a690da4f-01b5-4e4b-b7bb-dc71150bef3f
4c0e1b46-28ad-4e68-a036-dce86d5d4091</t>
  </si>
  <si>
    <t>3de018c2-6e09-462d-a7aa-66b390ad3a81</t>
  </si>
  <si>
    <t>0e888ea8-2b71-41d4-88c7-b885237defab</t>
  </si>
  <si>
    <t>3b8abb99-aa9b-465b-be21-6e1e4fb32c55</t>
  </si>
  <si>
    <t>fb0f0ebb-99d3-4621-b4b7-ef758ad8a0ae</t>
  </si>
  <si>
    <t>540ae890-f3b5-449b-814d-7dc3156ceaa7
943a354e-c202-400a-b7b2-68baa0723be3</t>
  </si>
  <si>
    <t>23f8812e-1493-4822-a84d-94f4a74e8ba6</t>
  </si>
  <si>
    <t xml:space="preserve">Emissions moyennes de CO2 / km des voitures particulières thermiques neuves vendues </t>
  </si>
  <si>
    <t>768d67bf-9bec-43ed-8877-36d025fd0873</t>
  </si>
  <si>
    <t>22031b61-658d-408a-81b3-8634ea529a54</t>
  </si>
  <si>
    <t>49e727a9-2011-425b-a49e-0ad84378a1c3</t>
  </si>
  <si>
    <t>abab233e-952c-4b05-8d56-3fd73fad40d7</t>
  </si>
  <si>
    <t>93d8c3d7-4d30-4c26-be0a-80a32d7a5ac4</t>
  </si>
  <si>
    <t>ae8eeff9-2f68-45db-b3f8-853b1a284f63</t>
  </si>
  <si>
    <t>6dc3e0bc-3bf4-4d8a-997b-c296cbeccfe6</t>
  </si>
  <si>
    <t>c5bc34ea-8933-4621-8ec0-0c525ea3819d
2ce38e12-1dd6-4224-9e81-f73d01addcbd</t>
  </si>
  <si>
    <t>d559afb3-f468-4655-b392-bef4f5a46259
e6fecc6f-c11a-4605-a185-4a0d76d82190</t>
  </si>
  <si>
    <t>cda4d7ec-914d-4d99-ab2e-c2f925f645fd
528d013f-8937-4b45-8e17-28a49be411c4</t>
  </si>
  <si>
    <t>49b2802e-9462-4804-a84c-6ec768e923df
47ba3011-8639-4cab-bd3b-3cb851543bd1</t>
  </si>
  <si>
    <t>a1b81ad6-b994-4191-92aa-4c2334501145</t>
  </si>
  <si>
    <t>6da23249-e96d-445d-9312-b54d1a105f11</t>
  </si>
  <si>
    <t>3aa86bd2-ec66-42a7-873b-49080be367ef</t>
  </si>
  <si>
    <t>d4e968d8-6565-490d-afcf-239417790596
b213a7a5-aeab-4a6d-820c-1b08bffe7374</t>
  </si>
  <si>
    <t>771b69e6-a9b5-4dc2-b945-6079e4bef30f</t>
  </si>
  <si>
    <t>5dac69a5-1411-4933-9be5-fe10ccc8559f</t>
  </si>
  <si>
    <t>57c1b234-be1c-46bb-9b9a-a24432b72ded
0a895f75-7902-46ca-ae39-64d2b21cb016
468e9a8d-7a8f-4149-a020-30e2ed64f3a2
ace47f35-bfa5-4f62-9d98-266050de7ba0</t>
  </si>
  <si>
    <t>50b7d5f4-ff31-44dd-ae30-1d296826f3c2
9eaa1ffe-81ce-4cc0-ad89-c7b473853f85</t>
  </si>
  <si>
    <t>774c2323-3c1e-4eb4-8312-1d695594d28b</t>
  </si>
  <si>
    <t>dac6899d-a610-43d5-acf0-7a8f665c294e
04ac89c5-4b3e-4da2-8293-eadca6d612b3</t>
  </si>
  <si>
    <t>77eff1c4-9f5e-4848-bf6c-3c05e03ffc72
5d15e4f4-aab1-4ae8-8a63-34be8bd8e5f6</t>
  </si>
  <si>
    <t>d60610d4-c30e-4880-981f-8c28534ef30e</t>
  </si>
  <si>
    <t>5a3fe6af-67c5-4221-a67e-59eb028c9ab3
7018ca32-827e-49b6-8c83-2f806f0b6d59</t>
  </si>
  <si>
    <t>35e9a7b6-3d43-44ac-9dac-330dcd50edc1</t>
  </si>
  <si>
    <t>8b82df90-19a7-46c4-96d6-44894e692ecf</t>
  </si>
  <si>
    <t>4431d8f7-68a4-45cd-9886-71d54e9cfe9d</t>
  </si>
  <si>
    <t>3f00d81c-ea49-4cfb-8ca4-f19322c678f4
2350377b-c3cf-43e7-8d7b-a3735e09da5d</t>
  </si>
  <si>
    <t>2e15a4c3-0c8f-4ca7-b5a8-51e70984b333</t>
  </si>
  <si>
    <t>121e9ae5-3968-4a55-8c13-761773743eac</t>
  </si>
  <si>
    <t>deb52b57-dbc3-472e-b7d8-f65e2d1b3575
9a1d6145-cb17-4d19-afef-3bae77bfc9e3
a8e94911-f63c-4290-9379-d1d65b2c1703</t>
  </si>
  <si>
    <t>d34e0496-129b-461a-8771-49c5b4e3d57c
b80cad6b-3908-4110-9890-273cae638962
69a5c0f8-2185-479f-89b0-396397566ec2
d69ade41-1351-45f1-8fc4-d3e4b381f442
fb2f9a78-4d24-478b-8975-1ff21ce4623b</t>
  </si>
  <si>
    <t>f715c811-411f-46b7-a432-f34cb1d4a464</t>
  </si>
  <si>
    <t>d02a5b5d-33ff-484e-abbd-a85e8cf2f353</t>
  </si>
  <si>
    <t>5ed623e3-c8bc-4139-8996-8b83b09fdf21</t>
  </si>
  <si>
    <t>e2728a8e-a5fc-4dab-8a33-d65997138eab
06ea0c37-b78e-4804-b4ef-39cb13482794
4fafeadf-80a5-49db-87fb-5a8185ca2ff1
84147662-64e4-44bc-8195-89b6206d899f
f9b16130-b628-45ee-8f5e-d05978655371
79b62b4c-330d-4979-ba95-29a312f9627c</t>
  </si>
  <si>
    <t>3495a615-fff3-4960-8923-7b9cf0d6e216</t>
  </si>
  <si>
    <t>d66e632b-fd1f-4e0a-a445-bbbf6aa3e54d
0ff125dc-9df8-4806-aa33-6dfab02eb4cb</t>
  </si>
  <si>
    <t>aa153138-f201-4932-993d-f573613671fc</t>
  </si>
  <si>
    <t>27223941-3bbb-4bba-8652-271512b4aa99</t>
  </si>
  <si>
    <t>9c6bbf1a-aca6-452c-8e5a-c078f9c5dce0</t>
  </si>
  <si>
    <t>28ca5db9-b812-40a9-b1e8-e5efb2a34539</t>
  </si>
  <si>
    <t>6e731955-a124-4665-800d-a7e2f8fdb312</t>
  </si>
  <si>
    <t>a8e6a34c-0efb-4b54-885e-df2c15aacf9a</t>
  </si>
  <si>
    <t>2148391c-8964-4a87-a189-e9ce50cb3cbc</t>
  </si>
  <si>
    <t>73a87d15-7edb-4f49-ad2c-933d49b1b347</t>
  </si>
  <si>
    <t>94b7af4e-6fa3-4a2e-91d6-233f8e3369d1</t>
  </si>
  <si>
    <t>à ajouter ?</t>
  </si>
  <si>
    <t>5ba4402c-710d-40c7-93a5-046fedfefe0d</t>
  </si>
  <si>
    <t>a1b11fa8-f3bc-4c82-8504-61245b9b37db</t>
  </si>
  <si>
    <t>7993c28e-802e-41c0-9b83-ef998e401e79
b4fd4039-7333-4053-86ff-fe091a7bb3f4</t>
  </si>
  <si>
    <t>e2728a8e-a5fc-4dab-8a33-d65997138eab</t>
  </si>
  <si>
    <t>ID grist leviers</t>
  </si>
  <si>
    <t>ID grist chantier</t>
  </si>
  <si>
    <t>ID grist engagements</t>
  </si>
  <si>
    <t>Colonne1</t>
  </si>
  <si>
    <t>Colonne2</t>
  </si>
  <si>
    <t>Colonne3</t>
  </si>
  <si>
    <t>Colonne4</t>
  </si>
  <si>
    <t>Colonne5</t>
  </si>
  <si>
    <t>Colonne6</t>
  </si>
  <si>
    <t>Colonne7</t>
  </si>
  <si>
    <t>Colonne8</t>
  </si>
  <si>
    <t>Nombre ID</t>
  </si>
  <si>
    <t>Réduire nos émissions nationales brutes (hors secteur des terres et forêt) de l'ordre de 50 % en 2030 par rapport à 1990 et atteindre la neutralité carbone en 2050</t>
  </si>
  <si>
    <t>Objectif contraignant</t>
  </si>
  <si>
    <t>Baisse de la consommation de 9 % pour les poids lourds thermiques neufs et de 10 % pour les VUL thermiques neufs entre 2019 et 2030</t>
  </si>
  <si>
    <t>SNBC 3 - Hypothèses AMS - Consommation des soutes maritimes internationales</t>
  </si>
  <si>
    <t>5 % de e-fuel et 11 % de biocarburant dans les soutes en 2030 et respectivement 74 % et 26 % en 2050</t>
  </si>
  <si>
    <t>Baisse de 9 % de la consommation du parc de véhicules particuliers thermiques entre 2019 et 2030</t>
  </si>
  <si>
    <t>Gain d'efficacité énergétique de respectivement 18% d'ici 2030, 52 % d'ici 2040 et 73 % d'ici 2050
Baisse de l'intensité carbone de respectivement 27% d'ici 2030, 78 % d'ici 2040 et de 100% d'ici 2050</t>
  </si>
  <si>
    <t>SNBC3 - Hypothèses AMS - Consommation moyenne réelle du parc roulant de voitures particulières, Intensité carbone moyenne réelle des parcs roulants (en gCO2/km)</t>
  </si>
  <si>
    <t>SNBC 3 - Hypothèses AMS - Evolution des taux d'occupation et de chargement des véhicules</t>
  </si>
  <si>
    <t>Augmentation du chargement moyen de 8,0 tonnes en 2019 à 8,3 d’ici 2030, 8,6 en 2040 et à 8,9 d’ici 2050</t>
  </si>
  <si>
    <t>Respectivement 33 % d'autobus électriques dans le parc roulant en 2030, 86 % en 2040 et 99 % en 2050
Respectivement 5 % d'autocars électriques dans le parc roulant en 2030, 38 % en 2040 et 78 % en 2050</t>
  </si>
  <si>
    <t>SNBC3 - Hypothèses AMS - Parc roulant des poids lourds (%), Parc roulant des autobus (%)</t>
  </si>
  <si>
    <t>SNBC3 - Hypothèses AMS - Consommation moyenne réelle du parc roulant des poids lourds</t>
  </si>
  <si>
    <t>Gain d'effiacité énergétique des PL de 20 % d'ici 2030, 48 % d'ici 2040 et de 60% d'ici 2050
Baisse de l'intensité carbone des PL de 28 % d'ici 2030, 75 % d'ici 2040 et de 100% d'ici 2050</t>
  </si>
  <si>
    <t>SNBC3 - Hypothèses AMS - Consommation des soutes maritimes internationales</t>
  </si>
  <si>
    <t>Réduction de 20 % de la consommation par t.km grâce à l'efficacité des navires entre 2023 et 2030, de 24 % à horizon 2040 et de 27 % à horizon 2050</t>
  </si>
  <si>
    <t>Réduire le trafic de poids lourds pour les marchandises</t>
  </si>
  <si>
    <t>Réduction de l'utilisation des poids lourds les plus polluants</t>
  </si>
  <si>
    <t>Verdir les utilitaires et poids lourds</t>
  </si>
  <si>
    <t>Verdir le secteur maritime et fluvial</t>
  </si>
  <si>
    <t>Indicateur baromètre</t>
  </si>
  <si>
    <t>Autres ID grist</t>
  </si>
  <si>
    <t>Transports2</t>
  </si>
  <si>
    <t>Agriculture2</t>
  </si>
  <si>
    <t>Industrie2</t>
  </si>
  <si>
    <t>Ecosystèmes2</t>
  </si>
  <si>
    <t>Territoires</t>
  </si>
  <si>
    <t>Contributions positives à l'ambition</t>
  </si>
  <si>
    <t>Contributions négatives à l'ambition</t>
  </si>
  <si>
    <t>Estimation chiffrée de l'impact global</t>
  </si>
  <si>
    <t>Indicateur de quantification de l'impact</t>
  </si>
  <si>
    <t>Emissions nationales de gaz à effet de serre (hors secteur UTCATF)</t>
  </si>
  <si>
    <t>Total émissions nationales CO2 (hors secteur UTCATF)
Total émissions nationales CH4 (hors secteur UTCATF) 
Total émissions nationales N2O (hors secteur UTCATF) 
Emissions de gaz à effet de serre par habitant (hors secteur UTCATF)
Puits carbone</t>
  </si>
  <si>
    <t>c72f6cc5-e6c7-4ac0-b25f-3770a74dea76
fd018d5e-bcc3-4b1e-9076-3072eab6e55b
2a904484-b922-4c16-af20-b75662cd5aa1
b968cf87-5cb6-4bca-9216-5ed58ff260f6
e1dfdf0a-2ca4-48c2-907a-67756e2c64ff</t>
  </si>
  <si>
    <t>Emissions domestiques du secteur des transports (hors international)
Emissions CO2 du secteur des transports (hors international)
Emissions HFC du secteur des transports (hors international)</t>
  </si>
  <si>
    <t>Emissions domestiques de gaz à effet serre du secteur de l'agriculture [MtCO2eq]
Emissions de gaz à effet de serre du secteur agroalimentaire
Evolution du puits forestier</t>
  </si>
  <si>
    <t>x</t>
  </si>
  <si>
    <t>Emissions domestiques de gaz à effet serre de l'industrie manufacturière et de construction
Emissions CO2 totales de l'industrie
Emissions N2O totales de l'industrie
Emissions d'hydrofluorocarbures (HFC) totales de l'industrie
Intensité carbone de la production</t>
  </si>
  <si>
    <t xml:space="preserve">Emissions de l'industrie de l'énergie tous gaz à effet de serre 
Emissions CO2 de l'industrie de l'énergie </t>
  </si>
  <si>
    <t>Emissions de gaz à effet de serre domestiques du secteur des déchets 
Emissions CH4 du secteur des déchets</t>
  </si>
  <si>
    <t>Emissions de GES [tCO2eq/an]</t>
  </si>
  <si>
    <t>Limiter notre empreinte carbone à une fourchette comprise respectivement entre 462 et 506 Mt CO2e en 2030 et entre 160 et 215 Mt en 2050 (entre 2,3 t CO2e/hab et 3,1 t CO2e/hab)</t>
  </si>
  <si>
    <t>Empreinte carbone nationale</t>
  </si>
  <si>
    <t>Empreinte carbone par habitant</t>
  </si>
  <si>
    <t>d089aef5-703e-4961-9c8f-6975957a96f6</t>
  </si>
  <si>
    <t>Sécuriser la disponibilité des ressources énergétiques en électricité et biomasse nécessaires à la décarbonation, en jouant sur l'offre et la demande</t>
  </si>
  <si>
    <t>Consommation finale d'énergie à usage énergétique</t>
  </si>
  <si>
    <t>Consommation d'énergie du secteur ?</t>
  </si>
  <si>
    <t>Consommation d'énergie finale du secteur</t>
  </si>
  <si>
    <t>Consommation finale d’énergie du secteur résidentiel - corrigée des variations climatiques
Consommation finale d'énergie du secteur tertiaire - corrigée des variations climatiques</t>
  </si>
  <si>
    <t>Consommation d'énergie [kWh/an]</t>
  </si>
  <si>
    <t>Adaptation climat</t>
  </si>
  <si>
    <t>Adapter nos territoires et organisations à un réchauffement mondial de 3 °C en 2100 (soit +4 °C en France hexagonale), afin de protéger les populations, assurer la souveraineté agricole, la résilience de l’économie, des infrastructures et des services essentiels, protéger le patrimoine naturel et culturel</t>
  </si>
  <si>
    <t>PNACC 3*</t>
  </si>
  <si>
    <t>Non mais normal à ce stade</t>
  </si>
  <si>
    <t>Taux de conformité à la TRACC</t>
  </si>
  <si>
    <t>Disposer de 100 % de masses d’eau en « bon état » en 2027 (quantitatif, chimique et écologique)</t>
  </si>
  <si>
    <t>LEMA</t>
  </si>
  <si>
    <t>Stratégie nationale biodiversité 2030</t>
  </si>
  <si>
    <t>% d'eau en bon état</t>
  </si>
  <si>
    <t>à ajouter (SDES)</t>
  </si>
  <si>
    <t>Part des eaux de surface à fort indice de pressions toxiques cumulées</t>
  </si>
  <si>
    <t>NA</t>
  </si>
  <si>
    <t>Garantir le droit d'accéder à l'eau potable, à tous et chaque personne physique, pour son alimentation et son hygiène, dans des conditions économiquement acceptables par tous.</t>
  </si>
  <si>
    <t>Augmenter de 30 %, de 2010 à 2030, le rapport entre notre PIB et notre consommation intérieure de matières</t>
  </si>
  <si>
    <t>LTECV</t>
  </si>
  <si>
    <t>Empreinte matière des français [kg/habitant] (SDES) - rapportée au PIB ?</t>
  </si>
  <si>
    <t>Poids moyen des véhicules neufs ?</t>
  </si>
  <si>
    <t>Empreinte matières</t>
  </si>
  <si>
    <t>Ressources minérales consommées [t/an]</t>
  </si>
  <si>
    <t>Réduire la quantité de déchets mis en décharge de 50% entre 2010 et 2025, et de 70 % d’ici 2050</t>
  </si>
  <si>
    <t xml:space="preserve">Tonnage de  Déchets Non Dangereux Non Inertes (DNDNI) mis en décharge </t>
  </si>
  <si>
    <t>Quantité de déchets produits [t/an]</t>
  </si>
  <si>
    <t>Réduire de moitié l’utilisation et les risques globaux de produits phytopharmaceutiques, et de 30% l’utilisation d’azote minéral, en 2030 par rapport à la période 2011-2013</t>
  </si>
  <si>
    <t>Stratégie Écophyto 2030 ou Stratégie nationale biodiversité 2030</t>
  </si>
  <si>
    <t>Oui (en plusieurs indicateurs)</t>
  </si>
  <si>
    <t>Rejets polluants dans les eaux par l'industrie / par nature</t>
  </si>
  <si>
    <t>Quantité de produits phytosanitaires et azotés utilisés [/an]</t>
  </si>
  <si>
    <t xml:space="preserve">Emissions de NOx totales
Emissions de SO2 totales
Emissions de PM2,5 totales
Emissions de NH3 totales
Emissions totales des Composés Organiques Volatils Non Méthaniques (COVNM) </t>
  </si>
  <si>
    <t>Emissions SO2 du secteur industrie manufacturière et construction
Emissions NOx du secteur industrie manufacturière et construction
Emissions PM2.5 du secteur industrie manufacturière et construction</t>
  </si>
  <si>
    <t>Polluants atmosphériques rejetés [kg/an]</t>
  </si>
  <si>
    <t>Atteindre une augmentation de 10% d’ici 2030 (avec un t0 en 2024) de l’indice des oiseaux communs des milieux agricoles (+20% d’ici 2040 et +30% d’ici à 2050)</t>
  </si>
  <si>
    <t>Règlement européen restauration de la nature</t>
  </si>
  <si>
    <t>Abondance des oiseaux communs spécialistes</t>
  </si>
  <si>
    <t>Restaurer au moins 30 % des habitats d’intérêt communautaire dégradés entre 2024 et 2030</t>
  </si>
  <si>
    <t>Abondance des oiseaux communs spécialistes : Milieu agricole / bâti / forestier
Part du territoire hexagonal exposé à un niveau élevé de pollution lumineuse</t>
  </si>
  <si>
    <t xml:space="preserve">Ménages en précarité énergétique </t>
  </si>
  <si>
    <t>Soutes internationales aériennes</t>
  </si>
  <si>
    <t>Territoires concernés par des restrictions d'eau estivales</t>
  </si>
  <si>
    <t>Soutes internationales maritimes</t>
  </si>
  <si>
    <t>Consommations d'eau douce par usage</t>
  </si>
  <si>
    <t>à piloter</t>
  </si>
  <si>
    <t>o</t>
  </si>
  <si>
    <t>présent dans baromètre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</si>
</sst>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color rgb="FF000000"/>
      <name val="Marianne"/>
    </font>
    <font>
      <sz val="11"/>
      <name val="Calibri"/>
      <family val="2"/>
      <scheme val="minor"/>
    </font>
    <font>
      <sz val="11"/>
      <color rgb="FF000000"/>
      <name val="Calibri"/>
      <family val="2"/>
      <charset val="1"/>
    </font>
    <font>
      <b/>
      <sz val="9"/>
      <color indexed="81"/>
      <name val="Tahoma"/>
      <family val="2"/>
    </font>
    <font>
      <sz val="9"/>
      <color indexed="81"/>
      <name val="Tahoma"/>
      <family val="2"/>
    </font>
    <font>
      <sz val="8"/>
      <color theme="1"/>
      <name val="Marianne"/>
    </font>
    <font>
      <sz val="8"/>
      <name val="Marianne"/>
    </font>
    <font>
      <sz val="8"/>
      <color rgb="FFFF0000"/>
      <name val="Marianne"/>
    </font>
    <font>
      <sz val="11"/>
      <color rgb="FFFF0000"/>
      <name val="Calibri"/>
      <family val="2"/>
      <scheme val="minor"/>
    </font>
    <font>
      <sz val="11"/>
      <color indexed="8"/>
      <name val="Calibri"/>
      <family val="2"/>
      <charset val="1"/>
    </font>
    <font>
      <b/>
      <sz val="11"/>
      <color theme="0"/>
      <name val="Calibri"/>
      <family val="2"/>
      <scheme val="minor"/>
    </font>
    <font>
      <b/>
      <sz val="11"/>
      <color theme="1"/>
      <name val="Calibri"/>
      <family val="2"/>
      <scheme val="minor"/>
    </font>
    <font>
      <sz val="8"/>
      <name val="Calibri"/>
      <family val="2"/>
      <scheme val="minor"/>
    </font>
  </fonts>
  <fills count="15">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rgb="FFFFFF00"/>
        <bgColor indexed="64"/>
      </patternFill>
    </fill>
    <fill>
      <patternFill patternType="solid">
        <fgColor theme="9"/>
        <bgColor indexed="64"/>
      </patternFill>
    </fill>
  </fills>
  <borders count="13">
    <border>
      <left/>
      <right/>
      <top/>
      <bottom/>
      <diagonal/>
    </border>
    <border>
      <left/>
      <right/>
      <top/>
      <bottom style="thin">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otted">
        <color indexed="64"/>
      </left>
      <right style="dotted">
        <color indexed="64"/>
      </right>
      <top/>
      <bottom style="thin">
        <color indexed="64"/>
      </bottom>
      <diagonal/>
    </border>
    <border>
      <left style="dotted">
        <color indexed="64"/>
      </left>
      <right style="dotted">
        <color indexed="64"/>
      </right>
      <top style="thin">
        <color indexed="64"/>
      </top>
      <bottom style="dotted">
        <color indexed="64"/>
      </bottom>
      <diagonal/>
    </border>
    <border>
      <left/>
      <right style="thick">
        <color theme="9" tint="-0.499984740745262"/>
      </right>
      <top style="thick">
        <color theme="9" tint="-0.499984740745262"/>
      </top>
      <bottom style="thick">
        <color theme="9" tint="-0.499984740745262"/>
      </bottom>
      <diagonal/>
    </border>
    <border>
      <left/>
      <right style="thick">
        <color theme="9" tint="-0.499984740745262"/>
      </right>
      <top style="thick">
        <color theme="9" tint="-0.499984740745262"/>
      </top>
      <bottom/>
      <diagonal/>
    </border>
    <border>
      <left/>
      <right/>
      <top style="thick">
        <color theme="0"/>
      </top>
      <bottom/>
      <diagonal/>
    </border>
    <border>
      <left style="dotted">
        <color indexed="64"/>
      </left>
      <right style="dotted">
        <color indexed="64"/>
      </right>
      <top/>
      <bottom style="dotted">
        <color indexed="64"/>
      </bottom>
      <diagonal/>
    </border>
    <border>
      <left style="dotted">
        <color indexed="64"/>
      </left>
      <right style="dotted">
        <color indexed="64"/>
      </right>
      <top style="thin">
        <color indexed="64"/>
      </top>
      <bottom/>
      <diagonal/>
    </border>
    <border>
      <left style="dotted">
        <color indexed="64"/>
      </left>
      <right style="dotted">
        <color indexed="64"/>
      </right>
      <top/>
      <bottom/>
      <diagonal/>
    </border>
    <border>
      <left style="dotted">
        <color indexed="64"/>
      </left>
      <right style="dotted">
        <color indexed="64"/>
      </right>
      <top style="dotted">
        <color indexed="64"/>
      </top>
      <bottom/>
      <diagonal/>
    </border>
  </borders>
  <cellStyleXfs count="3">
    <xf numFmtId="0" fontId="0" fillId="0" borderId="0"/>
    <xf numFmtId="0" fontId="3" fillId="0" borderId="0"/>
    <xf numFmtId="0" fontId="10" fillId="0" borderId="0"/>
  </cellStyleXfs>
  <cellXfs count="186">
    <xf numFmtId="0" fontId="0" fillId="0" borderId="0" xfId="0"/>
    <xf numFmtId="0" fontId="0" fillId="0" borderId="0" xfId="0" applyAlignment="1">
      <alignment wrapText="1"/>
    </xf>
    <xf numFmtId="0" fontId="6" fillId="0" borderId="0" xfId="0" applyFont="1" applyAlignment="1">
      <alignment wrapText="1"/>
    </xf>
    <xf numFmtId="0" fontId="6" fillId="0" borderId="0" xfId="0" applyFont="1"/>
    <xf numFmtId="0" fontId="6" fillId="0" borderId="0" xfId="0" applyFont="1" applyAlignment="1">
      <alignment vertical="center" wrapText="1"/>
    </xf>
    <xf numFmtId="0" fontId="9" fillId="0" borderId="0" xfId="0" applyFont="1" applyAlignment="1">
      <alignment wrapText="1"/>
    </xf>
    <xf numFmtId="0"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wrapText="1"/>
    </xf>
    <xf numFmtId="0" fontId="0" fillId="0" borderId="0" xfId="0" applyAlignment="1"/>
    <xf numFmtId="0" fontId="0" fillId="3" borderId="0" xfId="0" applyFill="1" applyAlignment="1">
      <alignment wrapText="1"/>
    </xf>
    <xf numFmtId="0" fontId="2" fillId="3" borderId="0" xfId="0" applyFont="1" applyFill="1" applyAlignment="1">
      <alignment wrapText="1"/>
    </xf>
    <xf numFmtId="0" fontId="9" fillId="3" borderId="0" xfId="0" applyFont="1" applyFill="1" applyAlignment="1">
      <alignment wrapText="1"/>
    </xf>
    <xf numFmtId="0" fontId="7" fillId="0" borderId="2" xfId="0" applyFont="1" applyBorder="1" applyAlignment="1">
      <alignment horizontal="left" vertical="center" wrapText="1"/>
    </xf>
    <xf numFmtId="0" fontId="6" fillId="0" borderId="2" xfId="0" applyFont="1" applyBorder="1" applyAlignment="1">
      <alignment horizontal="center" vertical="center" wrapText="1"/>
    </xf>
    <xf numFmtId="0" fontId="7" fillId="0" borderId="2" xfId="0" applyFont="1" applyFill="1" applyBorder="1" applyAlignment="1">
      <alignment horizontal="left" vertical="center" wrapText="1"/>
    </xf>
    <xf numFmtId="0" fontId="1" fillId="0" borderId="2" xfId="0" applyFont="1" applyBorder="1" applyAlignment="1">
      <alignment horizontal="left" vertical="center" wrapText="1"/>
    </xf>
    <xf numFmtId="0" fontId="8" fillId="0" borderId="2" xfId="0" applyFont="1" applyBorder="1" applyAlignment="1">
      <alignment horizontal="left" vertical="center" wrapText="1"/>
    </xf>
    <xf numFmtId="0" fontId="8" fillId="0" borderId="2" xfId="0" applyFont="1" applyFill="1" applyBorder="1" applyAlignment="1">
      <alignment horizontal="left" vertical="center" wrapText="1"/>
    </xf>
    <xf numFmtId="0" fontId="8" fillId="0" borderId="2" xfId="0" quotePrefix="1" applyFont="1" applyFill="1" applyBorder="1" applyAlignment="1">
      <alignment horizontal="left" vertical="center" wrapText="1"/>
    </xf>
    <xf numFmtId="0" fontId="7" fillId="0" borderId="2" xfId="0" quotePrefix="1" applyFont="1" applyFill="1" applyBorder="1" applyAlignment="1">
      <alignment horizontal="left" vertical="center" wrapText="1"/>
    </xf>
    <xf numFmtId="0" fontId="7" fillId="0" borderId="2" xfId="0" applyFont="1" applyFill="1" applyBorder="1" applyAlignment="1">
      <alignment vertical="center" wrapText="1"/>
    </xf>
    <xf numFmtId="0" fontId="7" fillId="0" borderId="3" xfId="0" applyFont="1" applyBorder="1" applyAlignment="1">
      <alignment horizontal="left" vertical="center" wrapText="1"/>
    </xf>
    <xf numFmtId="0" fontId="7" fillId="0" borderId="3" xfId="0" quotePrefix="1" applyFont="1" applyFill="1" applyBorder="1" applyAlignment="1">
      <alignment horizontal="left" vertical="center" wrapText="1"/>
    </xf>
    <xf numFmtId="0" fontId="6" fillId="0" borderId="3" xfId="0" applyFont="1" applyBorder="1" applyAlignment="1">
      <alignment horizontal="center" vertical="center" wrapText="1"/>
    </xf>
    <xf numFmtId="0" fontId="8" fillId="0" borderId="3" xfId="0" applyFont="1" applyFill="1" applyBorder="1" applyAlignment="1">
      <alignment horizontal="left" vertical="center" wrapText="1"/>
    </xf>
    <xf numFmtId="0" fontId="8" fillId="0" borderId="3" xfId="0" applyFont="1" applyBorder="1" applyAlignment="1">
      <alignment horizontal="left" vertical="center" wrapText="1"/>
    </xf>
    <xf numFmtId="0" fontId="7" fillId="0" borderId="3" xfId="0" applyFont="1" applyFill="1" applyBorder="1" applyAlignment="1">
      <alignment horizontal="left" vertical="center" wrapText="1"/>
    </xf>
    <xf numFmtId="0" fontId="1" fillId="0" borderId="3" xfId="0" applyFont="1" applyBorder="1" applyAlignment="1">
      <alignment horizontal="lef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quotePrefix="1" applyFont="1" applyFill="1" applyBorder="1" applyAlignment="1">
      <alignment vertical="center" wrapText="1"/>
    </xf>
    <xf numFmtId="0" fontId="7" fillId="0" borderId="3" xfId="0" applyFont="1" applyFill="1" applyBorder="1" applyAlignment="1">
      <alignment vertical="center" wrapText="1"/>
    </xf>
    <xf numFmtId="0" fontId="0" fillId="0" borderId="6" xfId="0" applyBorder="1" applyAlignment="1">
      <alignment wrapText="1"/>
    </xf>
    <xf numFmtId="0" fontId="0" fillId="0" borderId="0" xfId="0" applyBorder="1"/>
    <xf numFmtId="0" fontId="0" fillId="0" borderId="7" xfId="0" applyBorder="1" applyAlignment="1">
      <alignment wrapText="1"/>
    </xf>
    <xf numFmtId="0" fontId="11" fillId="4" borderId="8" xfId="0" applyFont="1" applyFill="1" applyBorder="1" applyAlignment="1">
      <alignment horizontal="center" vertical="center" wrapText="1"/>
    </xf>
    <xf numFmtId="0" fontId="7" fillId="0" borderId="5" xfId="0" applyFont="1" applyBorder="1" applyAlignment="1">
      <alignment horizontal="left" vertical="center" wrapText="1"/>
    </xf>
    <xf numFmtId="0" fontId="6" fillId="0" borderId="5" xfId="0" applyFont="1" applyBorder="1" applyAlignment="1">
      <alignment horizontal="center" vertical="center" wrapText="1"/>
    </xf>
    <xf numFmtId="0" fontId="7" fillId="0" borderId="5" xfId="0" applyFont="1" applyFill="1" applyBorder="1" applyAlignment="1">
      <alignment horizontal="left" vertical="center" wrapText="1"/>
    </xf>
    <xf numFmtId="0" fontId="7" fillId="0" borderId="5" xfId="0" applyFont="1" applyBorder="1" applyAlignment="1">
      <alignment horizontal="center" vertical="center" wrapText="1"/>
    </xf>
    <xf numFmtId="0" fontId="1" fillId="0" borderId="5" xfId="0" applyFont="1" applyBorder="1" applyAlignment="1">
      <alignment horizontal="left" vertical="center" wrapText="1"/>
    </xf>
    <xf numFmtId="0" fontId="8" fillId="0" borderId="5" xfId="0" applyFont="1" applyBorder="1" applyAlignment="1">
      <alignment horizontal="left" vertical="center" wrapText="1"/>
    </xf>
    <xf numFmtId="0" fontId="6" fillId="0" borderId="0" xfId="0" applyFont="1" applyAlignment="1">
      <alignment horizontal="center" vertical="center" wrapText="1"/>
    </xf>
    <xf numFmtId="0" fontId="7" fillId="0" borderId="2" xfId="0" applyFont="1" applyBorder="1" applyAlignment="1">
      <alignment vertical="center" wrapText="1"/>
    </xf>
    <xf numFmtId="0" fontId="0" fillId="6" borderId="0" xfId="0" applyFill="1" applyAlignment="1">
      <alignment wrapText="1"/>
    </xf>
    <xf numFmtId="0" fontId="6" fillId="0" borderId="3" xfId="0" applyFont="1" applyBorder="1" applyAlignment="1">
      <alignment vertical="center" wrapText="1"/>
    </xf>
    <xf numFmtId="0" fontId="6" fillId="0" borderId="0" xfId="0" applyFont="1" applyBorder="1" applyAlignment="1">
      <alignment horizontal="center" wrapText="1"/>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7" fillId="0" borderId="5" xfId="0" applyFont="1" applyFill="1" applyBorder="1" applyAlignment="1">
      <alignment vertical="center" wrapText="1"/>
    </xf>
    <xf numFmtId="0" fontId="8" fillId="0" borderId="5" xfId="0" applyFont="1" applyFill="1" applyBorder="1" applyAlignment="1">
      <alignment horizontal="left" vertical="center" wrapText="1"/>
    </xf>
    <xf numFmtId="0" fontId="7" fillId="0" borderId="3" xfId="0" applyFont="1" applyBorder="1" applyAlignment="1">
      <alignment vertical="center" wrapText="1"/>
    </xf>
    <xf numFmtId="0" fontId="6" fillId="5" borderId="0" xfId="0" applyFont="1" applyFill="1" applyBorder="1" applyAlignment="1">
      <alignment horizontal="center" wrapText="1"/>
    </xf>
    <xf numFmtId="0" fontId="6" fillId="0" borderId="0" xfId="0" applyFont="1" applyFill="1" applyBorder="1" applyAlignment="1">
      <alignment horizontal="center" wrapText="1"/>
    </xf>
    <xf numFmtId="0" fontId="1" fillId="7"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6" fillId="0" borderId="5" xfId="0" applyFont="1" applyFill="1" applyBorder="1" applyAlignment="1">
      <alignment horizontal="left" vertical="center" wrapText="1"/>
    </xf>
    <xf numFmtId="0" fontId="6" fillId="0" borderId="5" xfId="0" applyFont="1" applyBorder="1" applyAlignment="1">
      <alignment vertical="center" wrapText="1"/>
    </xf>
    <xf numFmtId="0" fontId="6" fillId="0" borderId="2" xfId="0" applyFont="1" applyBorder="1" applyAlignment="1">
      <alignment vertical="center" wrapText="1"/>
    </xf>
    <xf numFmtId="0" fontId="7" fillId="0" borderId="5" xfId="0" quotePrefix="1" applyFont="1" applyFill="1" applyBorder="1" applyAlignment="1">
      <alignment vertical="center" wrapText="1"/>
    </xf>
    <xf numFmtId="0" fontId="6" fillId="0" borderId="0" xfId="0" applyFont="1" applyAlignment="1">
      <alignment vertical="center"/>
    </xf>
    <xf numFmtId="0" fontId="7" fillId="0" borderId="0" xfId="0" applyFont="1" applyAlignment="1">
      <alignment wrapText="1"/>
    </xf>
    <xf numFmtId="0" fontId="6" fillId="3" borderId="0" xfId="0" applyFont="1" applyFill="1" applyBorder="1" applyAlignment="1">
      <alignment horizontal="center" wrapText="1"/>
    </xf>
    <xf numFmtId="0" fontId="6" fillId="8" borderId="2" xfId="0" applyFont="1" applyFill="1" applyBorder="1" applyAlignment="1">
      <alignment vertical="center" wrapText="1"/>
    </xf>
    <xf numFmtId="0" fontId="6" fillId="8" borderId="3" xfId="0" applyFont="1" applyFill="1" applyBorder="1" applyAlignment="1">
      <alignment vertical="center" wrapText="1"/>
    </xf>
    <xf numFmtId="0" fontId="6" fillId="8" borderId="5" xfId="0" applyFont="1" applyFill="1" applyBorder="1" applyAlignment="1">
      <alignment vertical="center" wrapText="1"/>
    </xf>
    <xf numFmtId="0" fontId="6" fillId="9" borderId="1" xfId="0" applyFont="1" applyFill="1" applyBorder="1" applyAlignment="1">
      <alignment horizontal="center" vertical="center" wrapText="1"/>
    </xf>
    <xf numFmtId="0" fontId="7" fillId="10" borderId="5" xfId="0" applyFont="1" applyFill="1" applyBorder="1" applyAlignment="1">
      <alignment horizontal="left" vertical="center" wrapText="1"/>
    </xf>
    <xf numFmtId="0" fontId="1" fillId="10" borderId="2" xfId="0" applyFont="1" applyFill="1" applyBorder="1" applyAlignment="1">
      <alignment horizontal="left" vertical="center" wrapText="1"/>
    </xf>
    <xf numFmtId="0" fontId="1" fillId="10" borderId="3" xfId="0" applyFont="1" applyFill="1" applyBorder="1" applyAlignment="1">
      <alignment horizontal="left" vertical="center" wrapText="1"/>
    </xf>
    <xf numFmtId="0" fontId="1" fillId="10" borderId="5" xfId="0" applyFont="1" applyFill="1" applyBorder="1" applyAlignment="1">
      <alignment horizontal="left" vertical="center" wrapText="1"/>
    </xf>
    <xf numFmtId="0" fontId="7" fillId="10" borderId="3" xfId="0" applyFont="1" applyFill="1" applyBorder="1" applyAlignment="1">
      <alignment horizontal="left" vertical="center" wrapText="1"/>
    </xf>
    <xf numFmtId="0" fontId="1" fillId="10" borderId="2" xfId="0" quotePrefix="1" applyFont="1" applyFill="1" applyBorder="1" applyAlignment="1">
      <alignment horizontal="left" vertical="center" wrapText="1"/>
    </xf>
    <xf numFmtId="0" fontId="6" fillId="10" borderId="5" xfId="0" applyFont="1" applyFill="1" applyBorder="1" applyAlignment="1">
      <alignment vertical="center" wrapText="1"/>
    </xf>
    <xf numFmtId="0" fontId="6" fillId="10" borderId="2" xfId="0" applyFont="1" applyFill="1" applyBorder="1" applyAlignment="1">
      <alignment vertical="center" wrapText="1"/>
    </xf>
    <xf numFmtId="0" fontId="8" fillId="10" borderId="3" xfId="0" applyFont="1" applyFill="1" applyBorder="1" applyAlignment="1">
      <alignment horizontal="left" vertical="center" wrapText="1"/>
    </xf>
    <xf numFmtId="0" fontId="8" fillId="10" borderId="5" xfId="0" applyFont="1" applyFill="1" applyBorder="1" applyAlignment="1">
      <alignment horizontal="left" vertical="center" wrapText="1"/>
    </xf>
    <xf numFmtId="0" fontId="6" fillId="8" borderId="2" xfId="0" quotePrefix="1" applyFont="1" applyFill="1" applyBorder="1" applyAlignment="1">
      <alignment vertical="center" wrapText="1"/>
    </xf>
    <xf numFmtId="0" fontId="8" fillId="10" borderId="2" xfId="0" applyFont="1" applyFill="1" applyBorder="1" applyAlignment="1">
      <alignment horizontal="left" vertical="center" wrapText="1"/>
    </xf>
    <xf numFmtId="0" fontId="1" fillId="10" borderId="5"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1" fillId="10" borderId="3" xfId="0" applyFont="1" applyFill="1" applyBorder="1" applyAlignment="1">
      <alignment horizontal="center" vertical="center" wrapText="1"/>
    </xf>
    <xf numFmtId="0" fontId="0" fillId="0" borderId="0" xfId="0" applyFill="1" applyBorder="1"/>
    <xf numFmtId="0" fontId="1" fillId="7" borderId="9" xfId="0" applyFont="1" applyFill="1" applyBorder="1" applyAlignment="1">
      <alignment horizontal="center" vertical="center" wrapText="1"/>
    </xf>
    <xf numFmtId="0" fontId="7" fillId="10" borderId="5" xfId="0" applyFont="1" applyFill="1" applyBorder="1" applyAlignment="1">
      <alignment vertical="center" wrapText="1"/>
    </xf>
    <xf numFmtId="0" fontId="7" fillId="10" borderId="2" xfId="0" applyFont="1" applyFill="1" applyBorder="1" applyAlignment="1">
      <alignment vertical="center" wrapText="1"/>
    </xf>
    <xf numFmtId="0" fontId="7" fillId="10" borderId="3" xfId="0" applyFont="1" applyFill="1" applyBorder="1" applyAlignment="1">
      <alignment vertical="center" wrapText="1"/>
    </xf>
    <xf numFmtId="0" fontId="0" fillId="4" borderId="0" xfId="0" applyFill="1" applyAlignment="1">
      <alignment wrapText="1"/>
    </xf>
    <xf numFmtId="0" fontId="0" fillId="11" borderId="0" xfId="0" applyFill="1" applyAlignment="1">
      <alignment wrapText="1"/>
    </xf>
    <xf numFmtId="0" fontId="1" fillId="10" borderId="5" xfId="0" applyFont="1" applyFill="1" applyBorder="1" applyAlignment="1">
      <alignment vertical="center" wrapText="1"/>
    </xf>
    <xf numFmtId="0" fontId="0" fillId="12" borderId="0" xfId="0" applyFill="1" applyAlignment="1">
      <alignment wrapText="1"/>
    </xf>
    <xf numFmtId="0" fontId="9" fillId="12" borderId="0" xfId="0" applyFont="1" applyFill="1" applyAlignment="1">
      <alignment wrapText="1"/>
    </xf>
    <xf numFmtId="0" fontId="9" fillId="4" borderId="0" xfId="0" applyFont="1" applyFill="1" applyAlignment="1">
      <alignment wrapText="1"/>
    </xf>
    <xf numFmtId="0" fontId="9" fillId="0" borderId="0" xfId="0" quotePrefix="1" applyFont="1" applyAlignment="1">
      <alignment wrapText="1"/>
    </xf>
    <xf numFmtId="0" fontId="0" fillId="0" borderId="0" xfId="0" quotePrefix="1" applyAlignment="1">
      <alignment wrapText="1"/>
    </xf>
    <xf numFmtId="0" fontId="2" fillId="0" borderId="0" xfId="0" quotePrefix="1" applyFont="1" applyAlignment="1">
      <alignment wrapText="1"/>
    </xf>
    <xf numFmtId="0" fontId="6" fillId="10" borderId="5" xfId="0" quotePrefix="1" applyFont="1" applyFill="1" applyBorder="1" applyAlignment="1">
      <alignment vertical="center" wrapText="1"/>
    </xf>
    <xf numFmtId="0" fontId="11" fillId="4" borderId="8" xfId="0" applyFont="1" applyFill="1" applyBorder="1" applyAlignment="1">
      <alignment horizontal="center" vertical="center" wrapText="1"/>
    </xf>
    <xf numFmtId="0" fontId="7" fillId="13" borderId="2" xfId="0" applyFont="1" applyFill="1" applyBorder="1" applyAlignment="1">
      <alignment vertical="center" wrapText="1"/>
    </xf>
    <xf numFmtId="0" fontId="6" fillId="0" borderId="0" xfId="0" applyFont="1" applyFill="1" applyAlignment="1">
      <alignment vertical="center" wrapText="1"/>
    </xf>
    <xf numFmtId="0" fontId="6" fillId="0" borderId="0" xfId="0" applyFont="1" applyBorder="1" applyAlignment="1">
      <alignment wrapText="1"/>
    </xf>
    <xf numFmtId="0" fontId="7" fillId="10" borderId="2" xfId="0" applyFont="1" applyFill="1" applyBorder="1" applyAlignment="1">
      <alignment horizontal="left" vertical="center" wrapText="1"/>
    </xf>
    <xf numFmtId="0" fontId="6" fillId="14" borderId="0" xfId="0" applyFont="1" applyFill="1" applyBorder="1" applyAlignment="1">
      <alignment horizontal="center" wrapText="1"/>
    </xf>
    <xf numFmtId="0" fontId="6" fillId="2" borderId="0" xfId="0" applyFont="1" applyFill="1" applyBorder="1" applyAlignment="1">
      <alignment horizontal="center" wrapText="1"/>
    </xf>
    <xf numFmtId="0" fontId="7" fillId="14" borderId="5" xfId="0" applyFont="1" applyFill="1" applyBorder="1" applyAlignment="1">
      <alignment horizontal="center" vertical="center" wrapText="1"/>
    </xf>
    <xf numFmtId="0" fontId="1" fillId="8" borderId="5" xfId="0" applyFont="1" applyFill="1" applyBorder="1" applyAlignment="1">
      <alignment horizontal="left" vertical="center" wrapText="1"/>
    </xf>
    <xf numFmtId="0" fontId="1" fillId="8" borderId="5" xfId="0" applyFont="1" applyFill="1" applyBorder="1" applyAlignment="1">
      <alignment vertical="center" wrapText="1"/>
    </xf>
    <xf numFmtId="0" fontId="7" fillId="14" borderId="2" xfId="0" applyFont="1" applyFill="1" applyBorder="1" applyAlignment="1">
      <alignment horizontal="center" vertical="center" wrapText="1"/>
    </xf>
    <xf numFmtId="0" fontId="1" fillId="8" borderId="2" xfId="0" applyFont="1" applyFill="1" applyBorder="1" applyAlignment="1">
      <alignment vertical="center" wrapText="1"/>
    </xf>
    <xf numFmtId="0" fontId="7" fillId="14" borderId="3" xfId="0" applyFont="1" applyFill="1" applyBorder="1" applyAlignment="1">
      <alignment horizontal="center" vertical="center" wrapText="1"/>
    </xf>
    <xf numFmtId="0" fontId="1" fillId="8" borderId="3" xfId="0" applyFont="1" applyFill="1" applyBorder="1" applyAlignment="1">
      <alignment vertical="center" wrapText="1"/>
    </xf>
    <xf numFmtId="0" fontId="8" fillId="13" borderId="2" xfId="0" applyFont="1" applyFill="1" applyBorder="1" applyAlignment="1">
      <alignment vertical="center" wrapText="1"/>
    </xf>
    <xf numFmtId="0" fontId="7" fillId="0" borderId="12" xfId="0" applyFont="1" applyFill="1" applyBorder="1" applyAlignment="1">
      <alignment horizontal="left" vertical="center" wrapText="1"/>
    </xf>
    <xf numFmtId="0" fontId="6" fillId="2" borderId="0" xfId="0" applyFont="1" applyFill="1" applyAlignment="1">
      <alignment horizontal="center" wrapText="1"/>
    </xf>
    <xf numFmtId="0" fontId="7" fillId="0" borderId="12" xfId="0" applyFont="1" applyBorder="1" applyAlignment="1">
      <alignment horizontal="center" vertical="center" wrapText="1"/>
    </xf>
    <xf numFmtId="0" fontId="8" fillId="13" borderId="2" xfId="0" quotePrefix="1" applyFont="1" applyFill="1" applyBorder="1" applyAlignment="1">
      <alignment horizontal="left" vertical="center" wrapText="1"/>
    </xf>
    <xf numFmtId="0" fontId="0" fillId="0" borderId="0" xfId="0" applyFill="1" applyAlignment="1">
      <alignment wrapText="1"/>
    </xf>
    <xf numFmtId="0" fontId="9" fillId="13" borderId="0" xfId="0" applyFont="1" applyFill="1" applyAlignment="1">
      <alignment wrapText="1"/>
    </xf>
    <xf numFmtId="0" fontId="6" fillId="7" borderId="0" xfId="0" applyFont="1" applyFill="1" applyBorder="1" applyAlignment="1">
      <alignment horizontal="center" wrapText="1"/>
    </xf>
    <xf numFmtId="0" fontId="7" fillId="2" borderId="0" xfId="0" applyFont="1" applyFill="1" applyBorder="1" applyAlignment="1">
      <alignment horizontal="center" wrapText="1"/>
    </xf>
    <xf numFmtId="0" fontId="7" fillId="10" borderId="5"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2" fillId="0" borderId="0" xfId="0" applyFont="1" applyFill="1" applyAlignment="1">
      <alignment wrapText="1"/>
    </xf>
    <xf numFmtId="0" fontId="9" fillId="0" borderId="0" xfId="0" applyFont="1" applyFill="1" applyAlignment="1">
      <alignment wrapText="1"/>
    </xf>
    <xf numFmtId="0" fontId="1" fillId="7" borderId="12" xfId="0" applyFont="1" applyFill="1" applyBorder="1" applyAlignment="1">
      <alignment horizontal="center" vertical="center" wrapText="1"/>
    </xf>
    <xf numFmtId="0" fontId="7" fillId="0" borderId="12" xfId="0" applyFont="1" applyBorder="1" applyAlignment="1">
      <alignment horizontal="left" vertical="center" wrapText="1"/>
    </xf>
    <xf numFmtId="0" fontId="7" fillId="0" borderId="12" xfId="0" quotePrefix="1" applyFont="1" applyFill="1" applyBorder="1" applyAlignment="1">
      <alignment horizontal="left" vertical="center" wrapText="1"/>
    </xf>
    <xf numFmtId="0" fontId="8" fillId="0" borderId="12" xfId="0" quotePrefix="1" applyFont="1" applyFill="1" applyBorder="1" applyAlignment="1">
      <alignment horizontal="left" vertical="center" wrapText="1"/>
    </xf>
    <xf numFmtId="0" fontId="7" fillId="0" borderId="12" xfId="0" applyFont="1" applyBorder="1" applyAlignment="1">
      <alignment vertical="center" wrapText="1"/>
    </xf>
    <xf numFmtId="0" fontId="6" fillId="0" borderId="12" xfId="0" applyFont="1" applyBorder="1" applyAlignment="1">
      <alignment horizontal="center" vertical="center" wrapText="1"/>
    </xf>
    <xf numFmtId="0" fontId="8" fillId="0" borderId="12" xfId="0" applyFont="1" applyFill="1" applyBorder="1" applyAlignment="1">
      <alignment horizontal="left" vertical="center" wrapText="1"/>
    </xf>
    <xf numFmtId="0" fontId="1" fillId="0" borderId="12" xfId="0" applyFont="1" applyBorder="1" applyAlignment="1">
      <alignment horizontal="left" vertical="center" wrapText="1"/>
    </xf>
    <xf numFmtId="0" fontId="1" fillId="10" borderId="12" xfId="0" applyFont="1" applyFill="1" applyBorder="1" applyAlignment="1">
      <alignment horizontal="left" vertical="center" wrapText="1"/>
    </xf>
    <xf numFmtId="0" fontId="6" fillId="8" borderId="12" xfId="0" applyFont="1" applyFill="1" applyBorder="1" applyAlignment="1">
      <alignment vertical="center" wrapText="1"/>
    </xf>
    <xf numFmtId="0" fontId="8" fillId="0" borderId="12" xfId="0" applyFont="1" applyFill="1" applyBorder="1" applyAlignment="1">
      <alignment vertical="center" wrapText="1"/>
    </xf>
    <xf numFmtId="0" fontId="7" fillId="0" borderId="12" xfId="0" applyFont="1" applyFill="1" applyBorder="1" applyAlignment="1">
      <alignment vertical="center" wrapText="1"/>
    </xf>
    <xf numFmtId="0" fontId="6" fillId="0" borderId="12" xfId="0" applyFont="1" applyBorder="1" applyAlignment="1">
      <alignment vertical="center" wrapText="1"/>
    </xf>
    <xf numFmtId="0" fontId="8" fillId="10" borderId="12" xfId="0" applyFont="1" applyFill="1" applyBorder="1" applyAlignment="1">
      <alignment horizontal="left" vertical="center" wrapText="1"/>
    </xf>
    <xf numFmtId="0" fontId="8" fillId="0" borderId="12" xfId="0" applyFont="1" applyBorder="1" applyAlignment="1">
      <alignment horizontal="left" vertical="center" wrapText="1"/>
    </xf>
    <xf numFmtId="0" fontId="7" fillId="10" borderId="12" xfId="0" applyFont="1" applyFill="1" applyBorder="1" applyAlignment="1">
      <alignment vertical="center" wrapText="1"/>
    </xf>
    <xf numFmtId="0" fontId="1" fillId="10" borderId="12" xfId="0" applyFont="1" applyFill="1" applyBorder="1" applyAlignment="1">
      <alignment horizontal="center" vertical="center" wrapText="1"/>
    </xf>
    <xf numFmtId="0" fontId="8" fillId="13" borderId="12" xfId="0" applyFont="1" applyFill="1" applyBorder="1" applyAlignment="1">
      <alignment horizontal="left" vertical="center" wrapText="1"/>
    </xf>
    <xf numFmtId="0" fontId="7" fillId="10" borderId="9" xfId="0" applyFont="1" applyFill="1" applyBorder="1" applyAlignment="1">
      <alignment horizontal="left" vertical="center" wrapText="1"/>
    </xf>
    <xf numFmtId="0" fontId="7" fillId="10" borderId="9" xfId="0" quotePrefix="1" applyFont="1" applyFill="1" applyBorder="1" applyAlignment="1">
      <alignment vertical="center" wrapText="1"/>
    </xf>
    <xf numFmtId="0" fontId="7" fillId="10" borderId="3"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7" fillId="10" borderId="5" xfId="0" applyFont="1" applyFill="1" applyBorder="1" applyAlignment="1">
      <alignment horizontal="center" vertical="center" wrapText="1"/>
    </xf>
    <xf numFmtId="0" fontId="7" fillId="10" borderId="5" xfId="0" quotePrefix="1" applyFont="1" applyFill="1" applyBorder="1" applyAlignment="1">
      <alignment horizontal="center" vertical="center" wrapText="1"/>
    </xf>
    <xf numFmtId="11" fontId="1" fillId="10" borderId="2" xfId="0" applyNumberFormat="1" applyFont="1" applyFill="1" applyBorder="1" applyAlignment="1">
      <alignment horizontal="left" vertical="center" wrapText="1"/>
    </xf>
    <xf numFmtId="11" fontId="1" fillId="10" borderId="2" xfId="0" applyNumberFormat="1" applyFont="1" applyFill="1" applyBorder="1" applyAlignment="1">
      <alignment horizontal="center" vertical="center" wrapText="1"/>
    </xf>
    <xf numFmtId="0" fontId="0" fillId="0" borderId="0" xfId="0" applyBorder="1" applyAlignment="1">
      <alignment horizontal="center"/>
    </xf>
    <xf numFmtId="0" fontId="0" fillId="0" borderId="0" xfId="0" applyFill="1" applyBorder="1" applyAlignment="1">
      <alignment horizontal="center"/>
    </xf>
    <xf numFmtId="11" fontId="7" fillId="10" borderId="5" xfId="0" quotePrefix="1" applyNumberFormat="1" applyFont="1" applyFill="1" applyBorder="1" applyAlignment="1">
      <alignment vertical="center" wrapText="1"/>
    </xf>
    <xf numFmtId="11" fontId="7" fillId="10" borderId="5" xfId="0" applyNumberFormat="1" applyFont="1" applyFill="1" applyBorder="1" applyAlignment="1">
      <alignment horizontal="left" vertical="center" wrapText="1"/>
    </xf>
    <xf numFmtId="11" fontId="1" fillId="10" borderId="5" xfId="0" applyNumberFormat="1" applyFont="1" applyFill="1" applyBorder="1" applyAlignment="1">
      <alignment horizontal="left" vertical="center" wrapText="1"/>
    </xf>
    <xf numFmtId="0" fontId="0" fillId="13" borderId="0" xfId="0" applyFill="1" applyAlignment="1">
      <alignment wrapText="1"/>
    </xf>
    <xf numFmtId="0" fontId="6" fillId="0" borderId="0" xfId="0" applyFont="1" applyAlignment="1">
      <alignment horizontal="center" vertical="center" wrapText="1"/>
    </xf>
    <xf numFmtId="0" fontId="7" fillId="10" borderId="5"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5" xfId="0" quotePrefix="1" applyFont="1" applyFill="1" applyBorder="1" applyAlignment="1">
      <alignment horizontal="center" vertical="center" wrapText="1"/>
    </xf>
    <xf numFmtId="0" fontId="7" fillId="2" borderId="2" xfId="0" quotePrefix="1" applyFont="1" applyFill="1" applyBorder="1" applyAlignment="1">
      <alignment horizontal="center" vertical="center" wrapText="1"/>
    </xf>
    <xf numFmtId="0" fontId="7" fillId="2" borderId="12" xfId="0" quotePrefix="1" applyFont="1" applyFill="1" applyBorder="1" applyAlignment="1">
      <alignment horizontal="center" vertical="center" wrapText="1"/>
    </xf>
    <xf numFmtId="0" fontId="7" fillId="2" borderId="3" xfId="0" quotePrefix="1" applyFont="1" applyFill="1" applyBorder="1" applyAlignment="1">
      <alignment horizontal="center" vertical="center" wrapText="1"/>
    </xf>
    <xf numFmtId="0" fontId="7" fillId="10" borderId="12" xfId="0" applyFont="1" applyFill="1" applyBorder="1" applyAlignment="1">
      <alignment horizontal="center" vertical="center" wrapText="1"/>
    </xf>
    <xf numFmtId="0" fontId="7" fillId="10" borderId="5" xfId="0" quotePrefix="1"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0" fillId="9" borderId="0" xfId="0" applyFill="1" applyAlignment="1">
      <alignment wrapText="1"/>
    </xf>
    <xf numFmtId="0" fontId="0" fillId="8" borderId="0" xfId="0" applyFill="1" applyAlignment="1">
      <alignment wrapText="1"/>
    </xf>
    <xf numFmtId="0" fontId="2" fillId="13" borderId="0" xfId="0" applyFont="1" applyFill="1" applyAlignment="1">
      <alignment wrapText="1"/>
    </xf>
    <xf numFmtId="0" fontId="2" fillId="12" borderId="0" xfId="0" applyFont="1" applyFill="1" applyAlignment="1">
      <alignment wrapText="1"/>
    </xf>
  </cellXfs>
  <cellStyles count="3">
    <cellStyle name="Excel Built-in Normal" xfId="2" xr:uid="{00000000-0005-0000-0000-000000000000}"/>
    <cellStyle name="Normal" xfId="0" builtinId="0"/>
    <cellStyle name="Normal 2" xfId="1" xr:uid="{00000000-0005-0000-0000-000002000000}"/>
  </cellStyles>
  <dxfs count="91">
    <dxf>
      <fill>
        <patternFill patternType="solid">
          <fgColor indexed="64"/>
          <bgColor theme="7" tint="0.79998168889431442"/>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indexed="64"/>
          <bgColor theme="7" tint="0.79998168889431442"/>
        </patternFill>
      </fill>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indexed="64"/>
          <bgColor theme="7" tint="0.79998168889431442"/>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[Planifeco_Référentiel de la planification_20260113-extrait transports.xlsx]Synthèse chantiers-leviers!Tableau croisé dynamique1</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fr-FR" sz="1000"/>
              <a:t>Nombre</a:t>
            </a:r>
            <a:r>
              <a:rPr lang="fr-FR" sz="1000" baseline="0"/>
              <a:t> de leviers identifiés selon les enjeux environnementaux</a:t>
            </a:r>
            <a:endParaRPr lang="fr-FR" sz="1000"/>
          </a:p>
        </c:rich>
      </c:tx>
      <c:overlay val="1"/>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'Synthèse chantiers-leviers'!$B$4:$B$6</c:f>
              <c:strCache>
                <c:ptCount val="1"/>
                <c:pt idx="0">
                  <c:v>Leviers mono-enjeu</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chantiers-leviers'!$A$7:$A$12</c:f>
              <c:strCache>
                <c:ptCount val="6"/>
                <c:pt idx="0">
                  <c:v>Atténuation (nationale) </c:v>
                </c:pt>
                <c:pt idx="1">
                  <c:v>Adaptation </c:v>
                </c:pt>
                <c:pt idx="2">
                  <c:v>Eau </c:v>
                </c:pt>
                <c:pt idx="3">
                  <c:v>Economie circulaire</c:v>
                </c:pt>
                <c:pt idx="4">
                  <c:v>Pollution / santé </c:v>
                </c:pt>
                <c:pt idx="5">
                  <c:v>Biodiversité </c:v>
                </c:pt>
              </c:strCache>
            </c:strRef>
          </c:cat>
          <c:val>
            <c:numRef>
              <c:f>'Synthèse chantiers-leviers'!$B$7:$B$12</c:f>
              <c:numCache>
                <c:formatCode>General</c:formatCode>
                <c:ptCount val="6"/>
                <c:pt idx="0">
                  <c:v>34</c:v>
                </c:pt>
                <c:pt idx="1">
                  <c:v>18</c:v>
                </c:pt>
                <c:pt idx="2">
                  <c:v>4</c:v>
                </c:pt>
                <c:pt idx="3">
                  <c:v>2</c:v>
                </c:pt>
                <c:pt idx="5">
                  <c:v>7</c:v>
                </c:pt>
              </c:numCache>
            </c:numRef>
          </c:val>
          <c:extLst>
            <c:ext xmlns:c16="http://schemas.microsoft.com/office/drawing/2014/chart" uri="{C3380CC4-5D6E-409C-BE32-E72D297353CC}">
              <c16:uniqueId val="{00000000-60BA-48F3-B5EB-AA957C78984A}"/>
            </c:ext>
          </c:extLst>
        </c:ser>
        <c:ser>
          <c:idx val="1"/>
          <c:order val="1"/>
          <c:tx>
            <c:strRef>
              <c:f>'Synthèse chantiers-leviers'!$C$4:$C$6</c:f>
              <c:strCache>
                <c:ptCount val="1"/>
                <c:pt idx="0">
                  <c:v>Leviers multi-enjeux</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chantiers-leviers'!$A$7:$A$12</c:f>
              <c:strCache>
                <c:ptCount val="6"/>
                <c:pt idx="0">
                  <c:v>Atténuation (nationale) </c:v>
                </c:pt>
                <c:pt idx="1">
                  <c:v>Adaptation </c:v>
                </c:pt>
                <c:pt idx="2">
                  <c:v>Eau </c:v>
                </c:pt>
                <c:pt idx="3">
                  <c:v>Economie circulaire</c:v>
                </c:pt>
                <c:pt idx="4">
                  <c:v>Pollution / santé </c:v>
                </c:pt>
                <c:pt idx="5">
                  <c:v>Biodiversité </c:v>
                </c:pt>
              </c:strCache>
            </c:strRef>
          </c:cat>
          <c:val>
            <c:numRef>
              <c:f>'Synthèse chantiers-leviers'!$C$7:$C$12</c:f>
              <c:numCache>
                <c:formatCode>General</c:formatCode>
                <c:ptCount val="6"/>
                <c:pt idx="0">
                  <c:v>46</c:v>
                </c:pt>
                <c:pt idx="1">
                  <c:v>15</c:v>
                </c:pt>
                <c:pt idx="2">
                  <c:v>19</c:v>
                </c:pt>
                <c:pt idx="3">
                  <c:v>11</c:v>
                </c:pt>
                <c:pt idx="4">
                  <c:v>36</c:v>
                </c:pt>
                <c:pt idx="5">
                  <c:v>20</c:v>
                </c:pt>
              </c:numCache>
            </c:numRef>
          </c:val>
          <c:extLst>
            <c:ext xmlns:c16="http://schemas.microsoft.com/office/drawing/2014/chart" uri="{C3380CC4-5D6E-409C-BE32-E72D297353CC}">
              <c16:uniqueId val="{00000004-707E-4A51-B397-BFA49D63CC14}"/>
            </c:ext>
          </c:extLst>
        </c:ser>
        <c:dLbls>
          <c:showLegendKey val="0"/>
          <c:showVal val="0"/>
          <c:showCatName val="0"/>
          <c:showSerName val="0"/>
          <c:showPercent val="0"/>
          <c:showBubbleSize val="0"/>
        </c:dLbls>
        <c:gapWidth val="150"/>
        <c:overlap val="100"/>
        <c:axId val="639396415"/>
        <c:axId val="639398911"/>
      </c:barChart>
      <c:catAx>
        <c:axId val="63939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39398911"/>
        <c:crosses val="autoZero"/>
        <c:auto val="1"/>
        <c:lblAlgn val="ctr"/>
        <c:lblOffset val="100"/>
        <c:noMultiLvlLbl val="0"/>
      </c:catAx>
      <c:valAx>
        <c:axId val="639398911"/>
        <c:scaling>
          <c:orientation val="minMax"/>
        </c:scaling>
        <c:delete val="1"/>
        <c:axPos val="l"/>
        <c:numFmt formatCode="General" sourceLinked="1"/>
        <c:majorTickMark val="none"/>
        <c:minorTickMark val="none"/>
        <c:tickLblPos val="nextTo"/>
        <c:crossAx val="639396415"/>
        <c:crosses val="autoZero"/>
        <c:crossBetween val="between"/>
      </c:valAx>
      <c:spPr>
        <a:noFill/>
        <a:ln>
          <a:noFill/>
        </a:ln>
        <a:effectLst/>
      </c:spPr>
    </c:plotArea>
    <c:legend>
      <c:legendPos val="r"/>
      <c:layout>
        <c:manualLayout>
          <c:xMode val="edge"/>
          <c:yMode val="edge"/>
          <c:x val="0.77731893024094345"/>
          <c:y val="0.19534966617236507"/>
          <c:w val="0.1506794297242183"/>
          <c:h val="0.1893494777683681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266701</xdr:colOff>
      <xdr:row>16</xdr:row>
      <xdr:rowOff>66674</xdr:rowOff>
    </xdr:from>
    <xdr:to>
      <xdr:col>8</xdr:col>
      <xdr:colOff>942975</xdr:colOff>
      <xdr:row>35</xdr:row>
      <xdr:rowOff>38099</xdr:rowOff>
    </xdr:to>
    <xdr:graphicFrame macro="">
      <xdr:nvGraphicFramePr>
        <xdr:cNvPr id="2" name="Graphique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08.%20Transverses\Evaluation\R&#233;f&#233;rentiel\Planifeco_R&#233;f&#233;rentiel%20de%20la%20planification_20260113.xlsx" TargetMode="External"/><Relationship Id="rId1" Type="http://schemas.openxmlformats.org/officeDocument/2006/relationships/externalLinkPath" Target="Planifeco_R&#233;f&#233;rentiel%20de%20la%20planification_202601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Engagements"/>
      <sheetName val="Leviers"/>
      <sheetName val="Synthèse chantiers-leviers"/>
      <sheetName val="Grist Engagements"/>
      <sheetName val="Grist chantiers-leviers"/>
    </sheetNames>
    <sheetDataSet>
      <sheetData sheetId="0" refreshError="1"/>
      <sheetData sheetId="1" refreshError="1"/>
      <sheetData sheetId="2" refreshError="1"/>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5981.415181365737" createdVersion="8" refreshedVersion="8" minRefreshableVersion="3" recordCount="144" xr:uid="{956FC456-365C-4FC1-9CA7-37659E144EC8}">
  <cacheSource type="worksheet">
    <worksheetSource ref="V1:AK1048576" sheet="Leviers"/>
  </cacheSource>
  <cacheFields count="16">
    <cacheField name="Enjeu d'exemplarité ? (Etat, collectivités territoriales)" numFmtId="0">
      <sharedItems containsBlank="1"/>
    </cacheField>
    <cacheField name="Enjeu de territorialisation?" numFmtId="0">
      <sharedItems containsBlank="1" count="3">
        <b v="1"/>
        <b v="0"/>
        <m/>
      </sharedItems>
    </cacheField>
    <cacheField name="Mondrian 2.0 (en rouge, points d'attention)" numFmtId="0">
      <sharedItems containsBlank="1"/>
    </cacheField>
    <cacheField name="Nature de l'écart avec Mondrian 2.0" numFmtId="0">
      <sharedItems containsBlank="1"/>
    </cacheField>
    <cacheField name="Leviers territoriaux (en rouge, points d'attention)" numFmtId="0">
      <sharedItems containsBlank="1"/>
    </cacheField>
    <cacheField name="Nature de l'écart avec territo hors GES" numFmtId="0">
      <sharedItems containsBlank="1"/>
    </cacheField>
    <cacheField name="Nouveauté ?" numFmtId="0">
      <sharedItems containsBlank="1"/>
    </cacheField>
    <cacheField name="Levier promu ?" numFmtId="0">
      <sharedItems containsBlank="1" count="3">
        <b v="1"/>
        <b v="0"/>
        <m/>
      </sharedItems>
    </cacheField>
    <cacheField name="Atténuation (nationale)" numFmtId="0">
      <sharedItems containsString="0" containsBlank="1" containsNumber="1" containsInteger="1" minValue="1" maxValue="3"/>
    </cacheField>
    <cacheField name="Adaptation" numFmtId="0">
      <sharedItems containsString="0" containsBlank="1" containsNumber="1" containsInteger="1" minValue="1" maxValue="3"/>
    </cacheField>
    <cacheField name="Eau" numFmtId="0">
      <sharedItems containsString="0" containsBlank="1" containsNumber="1" containsInteger="1" minValue="1" maxValue="3"/>
    </cacheField>
    <cacheField name="Déchets / ressources" numFmtId="0">
      <sharedItems containsString="0" containsBlank="1" containsNumber="1" containsInteger="1" minValue="1" maxValue="3"/>
    </cacheField>
    <cacheField name="Pollution / santé" numFmtId="0">
      <sharedItems containsString="0" containsBlank="1" containsNumber="1" containsInteger="1" minValue="1" maxValue="3"/>
    </cacheField>
    <cacheField name="Biodiversité" numFmtId="0">
      <sharedItems containsString="0" containsBlank="1" containsNumber="1" containsInteger="1" minValue="1" maxValue="3"/>
    </cacheField>
    <cacheField name="Doublons" numFmtId="0">
      <sharedItems containsString="0" containsBlank="1" containsNumber="1" containsInteger="1" minValue="0" maxValue="7" count="8">
        <n v="2"/>
        <n v="1"/>
        <n v="3"/>
        <n v="4"/>
        <m/>
        <n v="5" u="1"/>
        <n v="0" u="1"/>
        <n v="7" u="1"/>
      </sharedItems>
      <fieldGroup par="15"/>
    </cacheField>
    <cacheField name="Doublons2" numFmtId="0" databaseField="0">
      <fieldGroup base="14">
        <discretePr count="8">
          <x v="3"/>
          <x v="0"/>
          <x v="3"/>
          <x v="3"/>
          <x v="2"/>
          <x v="3"/>
          <x v="1"/>
          <x v="3"/>
        </discretePr>
        <groupItems count="4">
          <n v="1"/>
          <n v="0"/>
          <m/>
          <s v="Groupe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5981.452075925925" createdVersion="6" refreshedVersion="8" minRefreshableVersion="3" recordCount="144" xr:uid="{00000000-000A-0000-FFFF-FFFF00000000}">
  <cacheSource type="worksheet">
    <worksheetSource ref="A1:AK1048576" sheet="Leviers"/>
  </cacheSource>
  <cacheFields count="42">
    <cacheField name="Axes" numFmtId="0">
      <sharedItems containsBlank="1"/>
    </cacheField>
    <cacheField name="Secteur" numFmtId="0">
      <sharedItems containsBlank="1" count="13">
        <s v="Transport"/>
        <m/>
        <s v="Bâtiment"/>
        <s v="Energie"/>
        <s v="Industrie"/>
        <s v="Transverse"/>
        <s v="Services publics"/>
        <s v="Agriculture / alimentation"/>
        <s v="Ecosystèmes"/>
        <s v="Aménagement"/>
        <s v="Consommation" u="1"/>
        <s v="Agriculture" u="1"/>
        <s v="Réduire" u="1"/>
      </sharedItems>
    </cacheField>
    <cacheField name="Chantier" numFmtId="0">
      <sharedItems containsBlank="1" count="37">
        <s v="Réduire l'usage de la voiture au profit des modes durables de déplacement des personnes "/>
        <m/>
        <s v="Verdir les véhicules individuels"/>
        <s v="Verdir le secteur aérien"/>
        <s v="Réduire les déplacements de poids lourds pour les marchandises"/>
        <s v="Verdir les véhicules routiers à usage professionnel"/>
        <s v="Verdir les ports et les flottes"/>
        <s v="Accélérer la rénovation énergétique de l'habitat et des logements privés et sociaux"/>
        <s v="Rénover le parc tertiaire et verdir son exploitation"/>
        <s v="Développer les pratiques durables de construction et rénovation"/>
        <s v="Accroitre notre production d'électricité décarbonée"/>
        <s v="Généraliser l'utilisation des sources renouvelables de chaleur et de froid via les réseaux"/>
        <s v="Mobiliser la biomasse pour répondre aux besoins énergétiques non électrifiables"/>
        <s v="Réduire la consommation de ressources de l'industrie"/>
        <s v="Décarboner les sources d'énergie de l'industrie"/>
        <s v="Décarboner les procédés industriels le plus émissifs"/>
        <s v="Réduire les fuites de gaz à effet de serre"/>
        <s v="Développer la consommation responsable"/>
        <s v="Réduire l'impact environnemental des déchets produits"/>
        <s v="Réduire la dépendance aux intrants des cultures"/>
        <s v="Développer l'élevage durable"/>
        <s v="Décarboner les bâtiments et machines agricoles"/>
        <s v="Développer les services environnementaux en agriculture"/>
        <s v="Développer des filières agricole, aquacole et halieutique résilientes aux mutations économiques et climatiques"/>
        <s v="Tendre vers une alimentation saine et durable"/>
        <s v="Renforcer le puits de carbone forestier"/>
        <s v="Réduire les prélèvements d'eau douce"/>
        <s v="Améliorer l'approvisionnement en eau potable"/>
        <s v="Mobiliser de nouvelles ressources en eau"/>
        <s v="Préserver et restaurer les écosystèmes d'intérêt"/>
        <s v="Réduire les autres pressions sur la biodiversité"/>
        <s v="Prévenir les risques naturels dus au changement climatique"/>
        <s v="Gérer les conséquences structurelles du changement climatique"/>
        <s v="Sécuriser la continuité des services essentiels"/>
        <s v="Anticiper les impacts socio-économiques chroniques du changement climatique"/>
        <s v="Protéger les ressources en eau" u="1"/>
        <s v="Mieux gérer les ressources en eau" u="1"/>
      </sharedItems>
    </cacheField>
    <cacheField name="Objectif du chantier" numFmtId="0">
      <sharedItems containsBlank="1" longText="1"/>
    </cacheField>
    <cacheField name="Source de l'objectif du chantier" numFmtId="0">
      <sharedItems containsBlank="1" longText="1"/>
    </cacheField>
    <cacheField name="Indicateur de référence [unité]" numFmtId="0">
      <sharedItems containsBlank="1"/>
    </cacheField>
    <cacheField name="Indicateur baromètre [unité]" numFmtId="0">
      <sharedItems containsBlank="1"/>
    </cacheField>
    <cacheField name="Autres indicateurs baromètre" numFmtId="0">
      <sharedItems containsBlank="1"/>
    </cacheField>
    <cacheField name="Source indicateur" numFmtId="0">
      <sharedItems containsBlank="1"/>
    </cacheField>
    <cacheField name="Levier" numFmtId="0">
      <sharedItems containsBlank="1"/>
    </cacheField>
    <cacheField name="Objectif du levier" numFmtId="0">
      <sharedItems containsBlank="1" longText="1"/>
    </cacheField>
    <cacheField name="Source de l'objectif du levier" numFmtId="0">
      <sharedItems containsBlank="1" longText="1"/>
    </cacheField>
    <cacheField name="Secteurs concernés &gt;&gt; " numFmtId="0">
      <sharedItems containsBlank="1"/>
    </cacheField>
    <cacheField name="Transport" numFmtId="0">
      <sharedItems containsString="0" containsBlank="1" containsNumber="1" containsInteger="1" minValue="3" maxValue="3"/>
    </cacheField>
    <cacheField name="Agriculture / alimentation" numFmtId="0">
      <sharedItems containsString="0" containsBlank="1" containsNumber="1" containsInteger="1" minValue="3" maxValue="3"/>
    </cacheField>
    <cacheField name="Industrie" numFmtId="0">
      <sharedItems containsString="0" containsBlank="1" containsNumber="1" containsInteger="1" minValue="3" maxValue="3"/>
    </cacheField>
    <cacheField name="Bâtiment" numFmtId="0">
      <sharedItems containsString="0" containsBlank="1" containsNumber="1" containsInteger="1" minValue="3" maxValue="3"/>
    </cacheField>
    <cacheField name="Production et transformation d'énergie" numFmtId="0">
      <sharedItems containsString="0" containsBlank="1" containsNumber="1" containsInteger="1" minValue="3" maxValue="3"/>
    </cacheField>
    <cacheField name="Consommation / déchets" numFmtId="0">
      <sharedItems containsString="0" containsBlank="1" containsNumber="1" containsInteger="1" minValue="3" maxValue="3"/>
    </cacheField>
    <cacheField name="Aménagement et organisations" numFmtId="0">
      <sharedItems containsString="0" containsBlank="1" containsNumber="1" containsInteger="1" minValue="3" maxValue="3"/>
    </cacheField>
    <cacheField name="Ecosystèmes, terres et fôrets" numFmtId="0">
      <sharedItems containsString="0" containsBlank="1" containsNumber="1" containsInteger="1" minValue="3" maxValue="3"/>
    </cacheField>
    <cacheField name="Explication levier" numFmtId="0">
      <sharedItems containsBlank="1" longText="1"/>
    </cacheField>
    <cacheField name="Levier (intitulé usuel)" numFmtId="0">
      <sharedItems containsBlank="1"/>
    </cacheField>
    <cacheField name="Levier (intitulé court)" numFmtId="0">
      <sharedItems containsBlank="1"/>
    </cacheField>
    <cacheField name="Objets correspondants" numFmtId="0">
      <sharedItems containsBlank="1" longText="1"/>
    </cacheField>
    <cacheField name="Enjeu d'exemplarité ? (Etat, collectivités territoriales)" numFmtId="0">
      <sharedItems containsBlank="1"/>
    </cacheField>
    <cacheField name="Enjeu de territorialisation?" numFmtId="0">
      <sharedItems containsBlank="1" count="3">
        <b v="1"/>
        <b v="0"/>
        <m/>
      </sharedItems>
    </cacheField>
    <cacheField name="Mondrian 2.0 (en rouge, points d'attention)" numFmtId="0">
      <sharedItems containsBlank="1"/>
    </cacheField>
    <cacheField name="Nature de l'écart avec Mondrian 2.0" numFmtId="0">
      <sharedItems containsBlank="1"/>
    </cacheField>
    <cacheField name="Leviers territoriaux (en rouge, points d'attention)" numFmtId="0">
      <sharedItems containsBlank="1"/>
    </cacheField>
    <cacheField name="Nature de l'écart avec territo hors GES" numFmtId="0">
      <sharedItems containsBlank="1"/>
    </cacheField>
    <cacheField name="Nouveauté ?" numFmtId="0">
      <sharedItems containsBlank="1" count="3">
        <m/>
        <b v="0"/>
        <b v="1"/>
      </sharedItems>
    </cacheField>
    <cacheField name="Levier promu ?" numFmtId="0">
      <sharedItems containsBlank="1"/>
    </cacheField>
    <cacheField name="Atténuation (nationale)" numFmtId="0">
      <sharedItems containsString="0" containsBlank="1" containsNumber="1" containsInteger="1" minValue="1" maxValue="3"/>
    </cacheField>
    <cacheField name="Adaptation" numFmtId="0">
      <sharedItems containsString="0" containsBlank="1" containsNumber="1" containsInteger="1" minValue="1" maxValue="3"/>
    </cacheField>
    <cacheField name="Eau" numFmtId="0">
      <sharedItems containsString="0" containsBlank="1" containsNumber="1" containsInteger="1" minValue="1" maxValue="3"/>
    </cacheField>
    <cacheField name="Déchets / ressources" numFmtId="0">
      <sharedItems containsString="0" containsBlank="1" containsNumber="1" containsInteger="1" minValue="1" maxValue="3"/>
    </cacheField>
    <cacheField name="Pollution / santé" numFmtId="0">
      <sharedItems containsString="0" containsBlank="1" containsNumber="1" containsInteger="1" minValue="1" maxValue="3"/>
    </cacheField>
    <cacheField name="Biodiversité" numFmtId="0">
      <sharedItems containsString="0" containsBlank="1" containsNumber="1" containsInteger="1" minValue="1" maxValue="3"/>
    </cacheField>
    <cacheField name="Doublons" numFmtId="0">
      <sharedItems containsString="0" containsBlank="1" containsNumber="1" containsInteger="1" minValue="0" maxValue="7" count="8">
        <n v="2"/>
        <n v="1"/>
        <n v="3"/>
        <n v="4"/>
        <m/>
        <n v="5" u="1"/>
        <n v="0" u="1"/>
        <n v="7" u="1"/>
      </sharedItems>
      <fieldGroup par="41"/>
    </cacheField>
    <cacheField name="Classification" numFmtId="0">
      <sharedItems containsBlank="1" count="16">
        <s v="Atténuation (nationale)"/>
        <s v="-"/>
        <s v="Mixte"/>
        <s v="Adaptation"/>
        <s v="Déchets / ressources"/>
        <s v="Biodiversité"/>
        <s v="Pollution / santé"/>
        <e v="#N/A"/>
        <s v="Eau"/>
        <m/>
        <s v="Empreinte" u="1"/>
        <s v="Bouclages / ressources" u="1"/>
        <s v="Socio-économique" u="1"/>
        <s v="Empreinte GES (hors Mondrian)" u="1"/>
        <s v="Déchets" u="1"/>
        <s v="Atténuation" u="1"/>
      </sharedItems>
    </cacheField>
    <cacheField name="Doublons2" numFmtId="0" databaseField="0">
      <fieldGroup base="39">
        <discretePr count="8">
          <x v="3"/>
          <x v="0"/>
          <x v="3"/>
          <x v="3"/>
          <x v="2"/>
          <x v="3"/>
          <x v="1"/>
          <x v="3"/>
        </discretePr>
        <groupItems count="4">
          <n v="1"/>
          <n v="0"/>
          <m/>
          <s v="Groupe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b v="0"/>
    <x v="0"/>
    <s v="Sobriété transports"/>
    <s v="Marginal"/>
    <s v="Réduction des déplacements "/>
    <m/>
    <m/>
    <x v="0"/>
    <n v="3"/>
    <m/>
    <m/>
    <m/>
    <n v="1"/>
    <m/>
    <x v="0"/>
  </r>
  <r>
    <b v="1"/>
    <x v="0"/>
    <s v="Report modal vers TC et vélo"/>
    <s v="Regroupements / scissions"/>
    <s v="Vélo et transport en commun (report modal)"/>
    <m/>
    <m/>
    <x v="0"/>
    <n v="3"/>
    <m/>
    <m/>
    <m/>
    <n v="1"/>
    <m/>
    <x v="0"/>
  </r>
  <r>
    <b v="0"/>
    <x v="0"/>
    <s v="Report modal vers TC et vélo"/>
    <s v="Regroupements / scissions"/>
    <s v="Vélo et transport en commun (report modal)"/>
    <m/>
    <m/>
    <x v="0"/>
    <n v="3"/>
    <m/>
    <m/>
    <m/>
    <n v="1"/>
    <m/>
    <x v="0"/>
  </r>
  <r>
    <b v="1"/>
    <x v="0"/>
    <s v="Covoiturage"/>
    <s v="Marginal"/>
    <s v="Covoiturage"/>
    <m/>
    <m/>
    <x v="0"/>
    <n v="3"/>
    <m/>
    <m/>
    <m/>
    <n v="1"/>
    <m/>
    <x v="0"/>
  </r>
  <r>
    <b v="1"/>
    <x v="0"/>
    <s v="Electrification VP_x000a_2 roues"/>
    <s v="Regroupements / scissions"/>
    <s v="Véhicules électriques (particuliers)"/>
    <m/>
    <b v="0"/>
    <x v="0"/>
    <n v="3"/>
    <m/>
    <m/>
    <m/>
    <n v="1"/>
    <m/>
    <x v="0"/>
  </r>
  <r>
    <b v="0"/>
    <x v="1"/>
    <s v="Efficacité VP"/>
    <s v="Marginal"/>
    <s v="Efficacité et carburants décarbonés des véhicules privés"/>
    <m/>
    <m/>
    <x v="0"/>
    <n v="3"/>
    <m/>
    <m/>
    <m/>
    <n v="1"/>
    <m/>
    <x v="0"/>
  </r>
  <r>
    <b v="0"/>
    <x v="1"/>
    <s v="Biocarburants"/>
    <s v="Regroupements / scissions"/>
    <s v="Efficacité et carburants décarbonés des véhicules privés"/>
    <s v="Réorganisation"/>
    <m/>
    <x v="1"/>
    <n v="3"/>
    <m/>
    <m/>
    <m/>
    <m/>
    <m/>
    <x v="1"/>
  </r>
  <r>
    <b v="1"/>
    <x v="0"/>
    <s v="Maîtrise demande aérienne"/>
    <s v="Marginal"/>
    <s v="Absent"/>
    <m/>
    <b v="0"/>
    <x v="0"/>
    <n v="3"/>
    <m/>
    <m/>
    <m/>
    <m/>
    <m/>
    <x v="1"/>
  </r>
  <r>
    <b v="0"/>
    <x v="1"/>
    <s v="Efficacité aéronefs"/>
    <s v="Marginal"/>
    <s v="Absent"/>
    <m/>
    <b v="0"/>
    <x v="0"/>
    <n v="3"/>
    <m/>
    <m/>
    <m/>
    <m/>
    <m/>
    <x v="1"/>
  </r>
  <r>
    <b v="0"/>
    <x v="1"/>
    <s v="SAFs"/>
    <s v="Marginal"/>
    <s v="Absent"/>
    <m/>
    <b v="0"/>
    <x v="0"/>
    <n v="3"/>
    <m/>
    <m/>
    <m/>
    <m/>
    <m/>
    <x v="1"/>
  </r>
  <r>
    <b v="0"/>
    <x v="1"/>
    <s v="Sobriété marchandises"/>
    <s v="Marginal"/>
    <s v="Fret : Efficacité et sobriété logistique"/>
    <m/>
    <m/>
    <x v="0"/>
    <n v="3"/>
    <m/>
    <m/>
    <n v="1"/>
    <n v="1"/>
    <m/>
    <x v="2"/>
  </r>
  <r>
    <b v="0"/>
    <x v="0"/>
    <s v="Report ferroviaire et fluvial"/>
    <s v="Marginal"/>
    <s v="Fret : carburants décarbonés et multimodalité"/>
    <m/>
    <m/>
    <x v="0"/>
    <n v="3"/>
    <m/>
    <m/>
    <m/>
    <n v="1"/>
    <m/>
    <x v="0"/>
  </r>
  <r>
    <b v="0"/>
    <x v="0"/>
    <s v="Report ferroviaire et fluvial"/>
    <s v="Marginal"/>
    <s v="Fret : carburants décarbonés et multimodalité"/>
    <m/>
    <m/>
    <x v="0"/>
    <n v="3"/>
    <m/>
    <m/>
    <m/>
    <n v="1"/>
    <m/>
    <x v="0"/>
  </r>
  <r>
    <b v="0"/>
    <x v="0"/>
    <s v="EE et chargement des PL (p. 7) ou Efficacité PL + chargement des PL (p. 6)"/>
    <s v="Regroupements / scissions"/>
    <s v="Fret : Efficacité et sobriété logistique"/>
    <m/>
    <m/>
    <x v="0"/>
    <n v="3"/>
    <m/>
    <m/>
    <m/>
    <n v="1"/>
    <m/>
    <x v="0"/>
  </r>
  <r>
    <b v="0"/>
    <x v="0"/>
    <s v="Electrification VUL_x000a_"/>
    <m/>
    <s v="Fret : carburants décarbonés et multimodalité"/>
    <m/>
    <m/>
    <x v="0"/>
    <n v="3"/>
    <m/>
    <m/>
    <m/>
    <n v="1"/>
    <m/>
    <x v="0"/>
  </r>
  <r>
    <b v="0"/>
    <x v="0"/>
    <s v="Electrification / H2 PL"/>
    <m/>
    <s v="Fret : carburants décarbonés et multimodalité"/>
    <m/>
    <m/>
    <x v="0"/>
    <n v="3"/>
    <m/>
    <m/>
    <m/>
    <m/>
    <m/>
    <x v="1"/>
  </r>
  <r>
    <b v="0"/>
    <x v="1"/>
    <s v="EE et chargement des PL (p. 7) ou Efficacité PL + chargement des PL (p. 6)"/>
    <s v="Regroupements / scissions"/>
    <s v="Fret : Efficacité et sobriété logistique"/>
    <m/>
    <m/>
    <x v="0"/>
    <n v="3"/>
    <m/>
    <m/>
    <m/>
    <m/>
    <m/>
    <x v="1"/>
  </r>
  <r>
    <b v="0"/>
    <x v="0"/>
    <s v="Electrification / H2 PL"/>
    <s v="Regroupements / scissions"/>
    <s v="Bus et cars électriques"/>
    <m/>
    <m/>
    <x v="0"/>
    <n v="3"/>
    <m/>
    <m/>
    <m/>
    <n v="1"/>
    <m/>
    <x v="0"/>
  </r>
  <r>
    <b v="0"/>
    <x v="1"/>
    <s v="Bio/e-carburants"/>
    <s v="Regroupements / scissions"/>
    <s v="Fret : carburants décarbonés et multimodalité"/>
    <s v="Réorganisation"/>
    <m/>
    <x v="1"/>
    <n v="3"/>
    <m/>
    <m/>
    <m/>
    <m/>
    <m/>
    <x v="1"/>
  </r>
  <r>
    <b v="0"/>
    <x v="0"/>
    <s v="Vitesse des navires"/>
    <s v="Marginal"/>
    <s v="Fret : Efficacité et sobriété logistique"/>
    <m/>
    <m/>
    <x v="0"/>
    <n v="3"/>
    <m/>
    <m/>
    <m/>
    <n v="1"/>
    <m/>
    <x v="0"/>
  </r>
  <r>
    <b v="0"/>
    <x v="1"/>
    <m/>
    <m/>
    <m/>
    <m/>
    <m/>
    <x v="0"/>
    <n v="3"/>
    <m/>
    <m/>
    <m/>
    <m/>
    <m/>
    <x v="1"/>
  </r>
  <r>
    <b v="0"/>
    <x v="1"/>
    <m/>
    <m/>
    <m/>
    <m/>
    <m/>
    <x v="1"/>
    <n v="3"/>
    <m/>
    <m/>
    <m/>
    <m/>
    <m/>
    <x v="1"/>
  </r>
  <r>
    <b v="0"/>
    <x v="1"/>
    <s v="Efficacité des navires"/>
    <s v="Marginal"/>
    <s v="Fret : Efficacité et sobriété logistique"/>
    <m/>
    <m/>
    <x v="0"/>
    <n v="3"/>
    <m/>
    <m/>
    <m/>
    <n v="1"/>
    <m/>
    <x v="0"/>
  </r>
  <r>
    <b v="0"/>
    <x v="1"/>
    <s v="Biocarburants des navires"/>
    <s v="Regroupements / scissions"/>
    <s v="Fret : carburants décarbonés et multimodalité"/>
    <s v="Réorganisation"/>
    <m/>
    <x v="0"/>
    <n v="3"/>
    <m/>
    <m/>
    <m/>
    <n v="3"/>
    <m/>
    <x v="0"/>
  </r>
  <r>
    <b v="0"/>
    <x v="0"/>
    <s v="Sobriété résidentiel"/>
    <s v="Marginal"/>
    <s v="Sobriété et isolation des bâtiments (résidentiel)"/>
    <s v="Réorganisation"/>
    <b v="0"/>
    <x v="0"/>
    <n v="3"/>
    <m/>
    <m/>
    <m/>
    <m/>
    <m/>
    <x v="1"/>
  </r>
  <r>
    <b v="0"/>
    <x v="0"/>
    <s v="Résidentiel réno fioul"/>
    <s v="Marginal"/>
    <s v="Changement de chaudière à fioul (résidentiel)"/>
    <m/>
    <m/>
    <x v="0"/>
    <n v="3"/>
    <m/>
    <m/>
    <m/>
    <n v="1"/>
    <m/>
    <x v="0"/>
  </r>
  <r>
    <b v="0"/>
    <x v="0"/>
    <s v="Résidentiel réno gaz"/>
    <s v="Marginal"/>
    <s v="Changement de chaudière à gaz (résidentiel)"/>
    <m/>
    <m/>
    <x v="0"/>
    <n v="3"/>
    <m/>
    <m/>
    <m/>
    <n v="1"/>
    <m/>
    <x v="0"/>
  </r>
  <r>
    <b v="0"/>
    <x v="0"/>
    <s v="NA"/>
    <s v="Hors GES"/>
    <s v="Sobriété et isolation des bâtiments (résidentiel)"/>
    <s v="Réorganisation"/>
    <m/>
    <x v="0"/>
    <n v="3"/>
    <n v="1"/>
    <m/>
    <m/>
    <n v="1"/>
    <m/>
    <x v="2"/>
  </r>
  <r>
    <b v="0"/>
    <x v="1"/>
    <s v="Gaz fluorés résidentiel"/>
    <s v="Marginal"/>
    <s v="Absent"/>
    <m/>
    <b v="0"/>
    <x v="0"/>
    <n v="3"/>
    <m/>
    <m/>
    <m/>
    <m/>
    <m/>
    <x v="1"/>
  </r>
  <r>
    <b v="1"/>
    <x v="0"/>
    <s v="Sobriété tertiaire"/>
    <s v="Marginal"/>
    <s v="Sobriété et isolation des bâtiments (tertiaire)"/>
    <m/>
    <m/>
    <x v="0"/>
    <n v="3"/>
    <n v="1"/>
    <m/>
    <m/>
    <m/>
    <m/>
    <x v="0"/>
  </r>
  <r>
    <b v="1"/>
    <x v="0"/>
    <s v="Tertiaire réno fioul"/>
    <s v="Marginal"/>
    <s v="Changement de chaudière à fioul (tertiaire)"/>
    <m/>
    <m/>
    <x v="0"/>
    <n v="3"/>
    <m/>
    <m/>
    <m/>
    <n v="1"/>
    <m/>
    <x v="0"/>
  </r>
  <r>
    <b v="1"/>
    <x v="0"/>
    <s v="Tertiaire réno gaz"/>
    <s v="Marginal"/>
    <s v="Changement de chaudière à gaz (tertiaire)"/>
    <m/>
    <m/>
    <x v="0"/>
    <n v="3"/>
    <m/>
    <m/>
    <m/>
    <n v="1"/>
    <m/>
    <x v="0"/>
  </r>
  <r>
    <b v="1"/>
    <x v="1"/>
    <s v="Gas fluorés tertiaire"/>
    <s v="Marginal"/>
    <s v="Absent"/>
    <m/>
    <b v="0"/>
    <x v="0"/>
    <n v="3"/>
    <m/>
    <m/>
    <m/>
    <m/>
    <m/>
    <x v="1"/>
  </r>
  <r>
    <b v="1"/>
    <x v="0"/>
    <s v="NA"/>
    <s v="Hors GES"/>
    <s v="Absent"/>
    <s v="Empreinte"/>
    <b v="0"/>
    <x v="0"/>
    <n v="3"/>
    <m/>
    <m/>
    <m/>
    <m/>
    <m/>
    <x v="1"/>
  </r>
  <r>
    <b v="1"/>
    <x v="0"/>
    <s v="NA"/>
    <s v="Hors GES"/>
    <s v="Intégration du confort d’été dans la rénovation et la construction des bâtiments"/>
    <s v="Marginal"/>
    <m/>
    <x v="0"/>
    <m/>
    <n v="3"/>
    <m/>
    <m/>
    <m/>
    <m/>
    <x v="1"/>
  </r>
  <r>
    <m/>
    <x v="2"/>
    <m/>
    <m/>
    <m/>
    <m/>
    <m/>
    <x v="0"/>
    <n v="3"/>
    <m/>
    <m/>
    <n v="3"/>
    <m/>
    <m/>
    <x v="0"/>
  </r>
  <r>
    <b v="1"/>
    <x v="0"/>
    <s v="NA"/>
    <s v="Hors GES"/>
    <s v="Absent"/>
    <s v="Déclinaison sectorielle d'un levier"/>
    <b v="1"/>
    <x v="0"/>
    <m/>
    <m/>
    <m/>
    <n v="3"/>
    <m/>
    <m/>
    <x v="1"/>
  </r>
  <r>
    <b v="1"/>
    <x v="0"/>
    <s v="ZAN "/>
    <s v="Marginal"/>
    <s v="Sobriété foncière"/>
    <m/>
    <m/>
    <x v="0"/>
    <n v="3"/>
    <n v="1"/>
    <m/>
    <m/>
    <m/>
    <n v="3"/>
    <x v="2"/>
  </r>
  <r>
    <b v="0"/>
    <x v="0"/>
    <s v="Electricité bas carbone"/>
    <s v="Regroupements / scissions"/>
    <s v="Electricité renouvelable"/>
    <s v="Réorganisation"/>
    <m/>
    <x v="0"/>
    <n v="3"/>
    <m/>
    <m/>
    <m/>
    <m/>
    <m/>
    <x v="1"/>
  </r>
  <r>
    <b v="0"/>
    <x v="0"/>
    <s v="Electricité bas carbone"/>
    <s v="Regroupements / scissions"/>
    <s v="Electricité renouvelable"/>
    <s v="Réorganisation"/>
    <m/>
    <x v="0"/>
    <n v="3"/>
    <m/>
    <m/>
    <m/>
    <m/>
    <m/>
    <x v="1"/>
  </r>
  <r>
    <b v="0"/>
    <x v="0"/>
    <s v="Réseaux de chaleur"/>
    <s v="Marginal"/>
    <s v="Réseaux de chaleur "/>
    <s v="Réorganisation"/>
    <m/>
    <x v="0"/>
    <n v="3"/>
    <m/>
    <m/>
    <m/>
    <m/>
    <m/>
    <x v="1"/>
  </r>
  <r>
    <b v="0"/>
    <x v="0"/>
    <m/>
    <m/>
    <s v="Réseaux de chaleur "/>
    <s v="Réorganisation"/>
    <m/>
    <x v="0"/>
    <n v="3"/>
    <m/>
    <m/>
    <m/>
    <m/>
    <m/>
    <x v="1"/>
  </r>
  <r>
    <b v="0"/>
    <x v="0"/>
    <s v="NA"/>
    <s v="Hors GES"/>
    <s v="Satisfaction durable du besoin de rafraîchissement"/>
    <s v="Réorganisation"/>
    <m/>
    <x v="0"/>
    <m/>
    <n v="3"/>
    <m/>
    <m/>
    <m/>
    <m/>
    <x v="1"/>
  </r>
  <r>
    <b v="0"/>
    <x v="1"/>
    <s v="Absent"/>
    <s v="Levier 2050"/>
    <m/>
    <m/>
    <m/>
    <x v="0"/>
    <n v="3"/>
    <m/>
    <m/>
    <m/>
    <m/>
    <m/>
    <x v="1"/>
  </r>
  <r>
    <b v="0"/>
    <x v="0"/>
    <s v="Résidentiel biogaz_x000a_Tertiaire biogaz"/>
    <s v="Regroupements / scissions"/>
    <s v="Biogaz"/>
    <s v="Marginal"/>
    <m/>
    <x v="0"/>
    <n v="3"/>
    <m/>
    <m/>
    <m/>
    <m/>
    <m/>
    <x v="1"/>
  </r>
  <r>
    <b v="0"/>
    <x v="1"/>
    <s v="NA"/>
    <s v="Regroupements / scissions"/>
    <s v="Absent"/>
    <m/>
    <b v="1"/>
    <x v="0"/>
    <n v="3"/>
    <m/>
    <m/>
    <m/>
    <m/>
    <m/>
    <x v="1"/>
  </r>
  <r>
    <b v="0"/>
    <x v="0"/>
    <s v="NA"/>
    <s v="Hors GES"/>
    <s v="Absent"/>
    <s v="Bouclages"/>
    <b v="1"/>
    <x v="0"/>
    <n v="3"/>
    <m/>
    <m/>
    <m/>
    <m/>
    <m/>
    <x v="1"/>
  </r>
  <r>
    <b v="0"/>
    <x v="1"/>
    <s v="Réduction conso et sobriété"/>
    <s v="Marginal"/>
    <s v="Absent"/>
    <m/>
    <b v="0"/>
    <x v="0"/>
    <n v="3"/>
    <m/>
    <m/>
    <n v="3"/>
    <m/>
    <m/>
    <x v="0"/>
  </r>
  <r>
    <b v="0"/>
    <x v="1"/>
    <m/>
    <m/>
    <m/>
    <m/>
    <m/>
    <x v="0"/>
    <n v="3"/>
    <m/>
    <m/>
    <n v="3"/>
    <m/>
    <m/>
    <x v="0"/>
  </r>
  <r>
    <b v="0"/>
    <x v="1"/>
    <s v="Efficacité énergétique"/>
    <s v="Marginal"/>
    <s v="Absent"/>
    <m/>
    <b v="0"/>
    <x v="0"/>
    <n v="3"/>
    <m/>
    <m/>
    <m/>
    <n v="1"/>
    <m/>
    <x v="0"/>
  </r>
  <r>
    <b v="0"/>
    <x v="0"/>
    <s v="Electrification"/>
    <s v="Marginal"/>
    <s v="Absent"/>
    <m/>
    <b v="0"/>
    <x v="0"/>
    <n v="3"/>
    <m/>
    <m/>
    <m/>
    <m/>
    <m/>
    <x v="1"/>
  </r>
  <r>
    <b v="0"/>
    <x v="0"/>
    <s v="Biomasse / CSR"/>
    <s v="Marginal"/>
    <s v="Absent"/>
    <m/>
    <b v="0"/>
    <x v="0"/>
    <n v="3"/>
    <m/>
    <m/>
    <m/>
    <m/>
    <m/>
    <x v="1"/>
  </r>
  <r>
    <b v="0"/>
    <x v="0"/>
    <s v="CCS"/>
    <s v="Marginal"/>
    <s v="Absent"/>
    <m/>
    <b v="0"/>
    <x v="0"/>
    <n v="3"/>
    <m/>
    <m/>
    <m/>
    <m/>
    <m/>
    <x v="1"/>
  </r>
  <r>
    <b v="0"/>
    <x v="0"/>
    <s v="Raffinage"/>
    <s v="Marginal"/>
    <s v="Absent"/>
    <m/>
    <b v="0"/>
    <x v="1"/>
    <n v="3"/>
    <m/>
    <m/>
    <m/>
    <m/>
    <m/>
    <x v="1"/>
  </r>
  <r>
    <b v="0"/>
    <x v="0"/>
    <s v="NA"/>
    <s v="Hors GES"/>
    <s v="Absent"/>
    <s v="Bouclages"/>
    <b v="1"/>
    <x v="0"/>
    <n v="3"/>
    <m/>
    <m/>
    <m/>
    <m/>
    <m/>
    <x v="1"/>
  </r>
  <r>
    <b v="0"/>
    <x v="0"/>
    <s v="Changements de processus"/>
    <s v="Marginal"/>
    <s v="Absent"/>
    <m/>
    <b v="0"/>
    <x v="0"/>
    <n v="3"/>
    <m/>
    <m/>
    <m/>
    <m/>
    <m/>
    <x v="1"/>
  </r>
  <r>
    <b v="0"/>
    <x v="0"/>
    <s v="Autres leviers industriels"/>
    <s v="Marginal"/>
    <s v="Absent"/>
    <m/>
    <b v="0"/>
    <x v="0"/>
    <n v="3"/>
    <m/>
    <m/>
    <m/>
    <m/>
    <m/>
    <x v="1"/>
  </r>
  <r>
    <b v="0"/>
    <x v="0"/>
    <s v="Autres énergies"/>
    <s v="Regroupements / scissions"/>
    <s v="Autres énergies"/>
    <m/>
    <m/>
    <x v="0"/>
    <n v="3"/>
    <m/>
    <m/>
    <m/>
    <m/>
    <m/>
    <x v="1"/>
  </r>
  <r>
    <b v="1"/>
    <x v="0"/>
    <m/>
    <m/>
    <m/>
    <m/>
    <m/>
    <x v="0"/>
    <n v="3"/>
    <m/>
    <m/>
    <n v="3"/>
    <n v="3"/>
    <n v="3"/>
    <x v="3"/>
  </r>
  <r>
    <b v="1"/>
    <x v="0"/>
    <m/>
    <m/>
    <m/>
    <m/>
    <m/>
    <x v="0"/>
    <n v="3"/>
    <m/>
    <m/>
    <n v="3"/>
    <m/>
    <m/>
    <x v="0"/>
  </r>
  <r>
    <b v="1"/>
    <x v="1"/>
    <m/>
    <m/>
    <m/>
    <m/>
    <m/>
    <x v="0"/>
    <n v="3"/>
    <m/>
    <m/>
    <n v="3"/>
    <m/>
    <m/>
    <x v="0"/>
  </r>
  <r>
    <b v="1"/>
    <x v="0"/>
    <m/>
    <m/>
    <m/>
    <m/>
    <m/>
    <x v="0"/>
    <n v="3"/>
    <m/>
    <m/>
    <n v="3"/>
    <m/>
    <m/>
    <x v="0"/>
  </r>
  <r>
    <b v="0"/>
    <x v="0"/>
    <s v="Sobriété déchets"/>
    <s v="Marginal"/>
    <s v="Prévention des déchets"/>
    <m/>
    <m/>
    <x v="0"/>
    <n v="3"/>
    <m/>
    <m/>
    <n v="3"/>
    <m/>
    <m/>
    <x v="0"/>
  </r>
  <r>
    <b v="1"/>
    <x v="0"/>
    <s v="Réemploi, recyclage et valorisation des déchets _x000a_Moindre stockage en ISDND"/>
    <s v="Regroupements / scissions"/>
    <s v="Moindre stockage en décharge_x000a_Collecte et tri des déchets"/>
    <m/>
    <m/>
    <x v="0"/>
    <m/>
    <m/>
    <m/>
    <n v="3"/>
    <m/>
    <m/>
    <x v="1"/>
  </r>
  <r>
    <b v="0"/>
    <x v="0"/>
    <s v="Réemploi, recyclage et valorisation des déchets _x000a_Moindre stockage en ISDND"/>
    <s v="Regroupements / scissions"/>
    <s v="Valorisation matière des déchets "/>
    <m/>
    <m/>
    <x v="0"/>
    <n v="1"/>
    <m/>
    <m/>
    <n v="3"/>
    <m/>
    <m/>
    <x v="0"/>
  </r>
  <r>
    <b v="0"/>
    <x v="0"/>
    <s v="Captage de méthane dans les ISDND"/>
    <s v="Marginal"/>
    <s v="Captage de méthane dans les ISDND"/>
    <m/>
    <m/>
    <x v="0"/>
    <n v="3"/>
    <m/>
    <m/>
    <m/>
    <m/>
    <m/>
    <x v="1"/>
  </r>
  <r>
    <m/>
    <x v="2"/>
    <m/>
    <m/>
    <m/>
    <m/>
    <m/>
    <x v="0"/>
    <n v="3"/>
    <m/>
    <m/>
    <n v="3"/>
    <m/>
    <m/>
    <x v="0"/>
  </r>
  <r>
    <b v="0"/>
    <x v="0"/>
    <s v="Autres énergies"/>
    <s v="Regroupements / scissions"/>
    <s v="Autres énergies"/>
    <m/>
    <m/>
    <x v="0"/>
    <n v="3"/>
    <m/>
    <m/>
    <m/>
    <m/>
    <m/>
    <x v="1"/>
  </r>
  <r>
    <b v="0"/>
    <x v="0"/>
    <s v="NA"/>
    <s v="Hors GES"/>
    <s v="Absent"/>
    <s v="Biodiversité"/>
    <b v="1"/>
    <x v="0"/>
    <m/>
    <m/>
    <m/>
    <m/>
    <m/>
    <n v="3"/>
    <x v="1"/>
  </r>
  <r>
    <b v="0"/>
    <x v="0"/>
    <s v="Leviers azote"/>
    <s v="Regroupements / scissions"/>
    <s v="Changement de pratiques de fertilisation azotée"/>
    <m/>
    <m/>
    <x v="0"/>
    <n v="3"/>
    <m/>
    <n v="1"/>
    <m/>
    <n v="3"/>
    <n v="3"/>
    <x v="3"/>
  </r>
  <r>
    <b v="0"/>
    <x v="0"/>
    <s v="Leviers azote"/>
    <s v="Regroupements / scissions"/>
    <s v="Changement de pratiques de fertilisation azotée"/>
    <m/>
    <m/>
    <x v="0"/>
    <n v="3"/>
    <m/>
    <n v="1"/>
    <m/>
    <n v="3"/>
    <n v="3"/>
    <x v="3"/>
  </r>
  <r>
    <b v="0"/>
    <x v="0"/>
    <s v="Leviers azote"/>
    <s v="Regroupements / scissions"/>
    <s v="Changement de pratiques de fertilisation azotée"/>
    <m/>
    <m/>
    <x v="0"/>
    <n v="3"/>
    <m/>
    <n v="1"/>
    <m/>
    <n v="3"/>
    <n v="3"/>
    <x v="3"/>
  </r>
  <r>
    <b v="0"/>
    <x v="0"/>
    <s v="NA"/>
    <s v="Hors GES"/>
    <s v="Réduction de l’usage des produits phytosanitaires "/>
    <s v="Marginal"/>
    <m/>
    <x v="0"/>
    <m/>
    <m/>
    <n v="1"/>
    <m/>
    <n v="3"/>
    <n v="3"/>
    <x v="2"/>
  </r>
  <r>
    <b v="0"/>
    <x v="0"/>
    <s v="NA"/>
    <s v="Hors GES"/>
    <s v="Agriculture biologique et de HVE"/>
    <s v="Marginal"/>
    <m/>
    <x v="0"/>
    <m/>
    <m/>
    <m/>
    <m/>
    <n v="3"/>
    <n v="3"/>
    <x v="0"/>
  </r>
  <r>
    <m/>
    <x v="2"/>
    <m/>
    <m/>
    <m/>
    <m/>
    <m/>
    <x v="1"/>
    <n v="3"/>
    <m/>
    <m/>
    <m/>
    <m/>
    <m/>
    <x v="1"/>
  </r>
  <r>
    <b v="0"/>
    <x v="0"/>
    <s v="Elevage"/>
    <s v="Marginal"/>
    <s v="Elevage durable"/>
    <m/>
    <b v="0"/>
    <x v="0"/>
    <n v="3"/>
    <m/>
    <n v="1"/>
    <m/>
    <n v="3"/>
    <n v="1"/>
    <x v="3"/>
  </r>
  <r>
    <m/>
    <x v="2"/>
    <m/>
    <m/>
    <m/>
    <m/>
    <m/>
    <x v="0"/>
    <n v="3"/>
    <m/>
    <m/>
    <m/>
    <m/>
    <m/>
    <x v="1"/>
  </r>
  <r>
    <b v="0"/>
    <x v="0"/>
    <s v="Absent"/>
    <m/>
    <m/>
    <m/>
    <m/>
    <x v="0"/>
    <n v="3"/>
    <m/>
    <m/>
    <m/>
    <n v="3"/>
    <m/>
    <x v="0"/>
  </r>
  <r>
    <m/>
    <x v="2"/>
    <m/>
    <m/>
    <m/>
    <m/>
    <m/>
    <x v="0"/>
    <n v="3"/>
    <m/>
    <m/>
    <m/>
    <m/>
    <m/>
    <x v="1"/>
  </r>
  <r>
    <b v="0"/>
    <x v="1"/>
    <s v="Absent"/>
    <m/>
    <m/>
    <m/>
    <m/>
    <x v="0"/>
    <n v="3"/>
    <m/>
    <m/>
    <m/>
    <n v="1"/>
    <m/>
    <x v="0"/>
  </r>
  <r>
    <b v="0"/>
    <x v="0"/>
    <s v="Bâtiments &amp; Machines agricoles"/>
    <s v="Marginal"/>
    <s v="Bâtiments &amp; Machines agricoles"/>
    <m/>
    <m/>
    <x v="0"/>
    <n v="3"/>
    <m/>
    <m/>
    <m/>
    <m/>
    <m/>
    <x v="1"/>
  </r>
  <r>
    <m/>
    <x v="2"/>
    <m/>
    <m/>
    <m/>
    <m/>
    <m/>
    <x v="0"/>
    <n v="3"/>
    <m/>
    <m/>
    <m/>
    <m/>
    <m/>
    <x v="1"/>
  </r>
  <r>
    <b v="0"/>
    <x v="0"/>
    <s v="CIVE et CIPAN"/>
    <s v="Marginal"/>
    <s v="Pratiques stockantes"/>
    <m/>
    <m/>
    <x v="0"/>
    <n v="3"/>
    <m/>
    <m/>
    <m/>
    <m/>
    <m/>
    <x v="1"/>
  </r>
  <r>
    <b v="0"/>
    <x v="0"/>
    <s v="Prairies"/>
    <s v="Marginal"/>
    <s v="Gestion des prairies"/>
    <m/>
    <m/>
    <x v="0"/>
    <n v="3"/>
    <m/>
    <m/>
    <m/>
    <m/>
    <n v="3"/>
    <x v="0"/>
  </r>
  <r>
    <b v="0"/>
    <x v="0"/>
    <s v="Haies et agroforesterie"/>
    <s v="Regroupements / scissions"/>
    <s v="Absent"/>
    <m/>
    <m/>
    <x v="0"/>
    <n v="3"/>
    <n v="3"/>
    <n v="3"/>
    <m/>
    <m/>
    <n v="3"/>
    <x v="3"/>
  </r>
  <r>
    <b v="0"/>
    <x v="0"/>
    <s v="Haies et agroforesterie"/>
    <s v="Regroupements / scissions"/>
    <s v="Gestion des haies_x000a_Ralentissement du ruissellement sur les sols agricoles et artificialisés -&gt; séparé entre agriculture, ZAN et renaturation"/>
    <m/>
    <m/>
    <x v="0"/>
    <n v="3"/>
    <n v="3"/>
    <n v="3"/>
    <m/>
    <m/>
    <n v="3"/>
    <x v="3"/>
  </r>
  <r>
    <b v="0"/>
    <x v="0"/>
    <s v="NA"/>
    <s v="Hors GES"/>
    <s v="Sobriété dans l’utilisation de la ressource en eau"/>
    <s v="Déclinaison sectorielle d'un levier"/>
    <m/>
    <x v="1"/>
    <m/>
    <n v="1"/>
    <n v="3"/>
    <m/>
    <m/>
    <m/>
    <x v="0"/>
  </r>
  <r>
    <b v="0"/>
    <x v="0"/>
    <s v="NA"/>
    <s v="Hors GES"/>
    <s v="Adaptation des filières et des exploitations agricoles"/>
    <s v="Marginal"/>
    <m/>
    <x v="0"/>
    <m/>
    <n v="3"/>
    <m/>
    <m/>
    <m/>
    <m/>
    <x v="1"/>
  </r>
  <r>
    <b v="0"/>
    <x v="0"/>
    <s v="NA"/>
    <s v="Hors GES"/>
    <s v="Accompagnement des filières de la pêche et de l’aquaculture -&gt; séparation pêche et aquaculture"/>
    <s v="Réorganisation"/>
    <m/>
    <x v="0"/>
    <m/>
    <m/>
    <m/>
    <m/>
    <m/>
    <n v="3"/>
    <x v="1"/>
  </r>
  <r>
    <b v="0"/>
    <x v="0"/>
    <s v="NA"/>
    <s v="Hors GES"/>
    <s v="Accompagnement des filières de la pêche et de l’aquaculture -&gt; séparation pêche et aquaculture"/>
    <s v="Réorganisation"/>
    <m/>
    <x v="0"/>
    <m/>
    <n v="1"/>
    <m/>
    <m/>
    <n v="3"/>
    <m/>
    <x v="0"/>
  </r>
  <r>
    <b v="1"/>
    <x v="0"/>
    <s v="NA"/>
    <s v="Hors GES"/>
    <s v="Loi Egalim / Climat &amp; Résilience "/>
    <s v="Marginal"/>
    <m/>
    <x v="0"/>
    <m/>
    <m/>
    <n v="1"/>
    <m/>
    <n v="3"/>
    <n v="3"/>
    <x v="2"/>
  </r>
  <r>
    <b v="1"/>
    <x v="0"/>
    <m/>
    <m/>
    <m/>
    <m/>
    <m/>
    <x v="0"/>
    <n v="3"/>
    <m/>
    <n v="1"/>
    <m/>
    <n v="1"/>
    <n v="1"/>
    <x v="3"/>
  </r>
  <r>
    <b v="1"/>
    <x v="0"/>
    <m/>
    <m/>
    <m/>
    <m/>
    <m/>
    <x v="0"/>
    <n v="1"/>
    <m/>
    <m/>
    <m/>
    <n v="1"/>
    <n v="1"/>
    <x v="2"/>
  </r>
  <r>
    <b v="1"/>
    <x v="0"/>
    <m/>
    <m/>
    <m/>
    <m/>
    <m/>
    <x v="0"/>
    <n v="3"/>
    <m/>
    <n v="1"/>
    <m/>
    <n v="1"/>
    <n v="1"/>
    <x v="3"/>
  </r>
  <r>
    <b v="1"/>
    <x v="0"/>
    <s v="Leviers forêt-bois"/>
    <s v="Regroupements / scissions"/>
    <s v="Gestion durable des forêts et produits bois -&gt; scindé"/>
    <m/>
    <m/>
    <x v="0"/>
    <n v="3"/>
    <n v="3"/>
    <m/>
    <m/>
    <m/>
    <n v="3"/>
    <x v="2"/>
  </r>
  <r>
    <b v="0"/>
    <x v="0"/>
    <s v="Leviers forêt-bois"/>
    <s v="Regroupements / scissions"/>
    <m/>
    <m/>
    <m/>
    <x v="0"/>
    <n v="3"/>
    <m/>
    <m/>
    <m/>
    <m/>
    <m/>
    <x v="1"/>
  </r>
  <r>
    <b v="0"/>
    <x v="1"/>
    <m/>
    <m/>
    <m/>
    <m/>
    <m/>
    <x v="1"/>
    <n v="3"/>
    <m/>
    <m/>
    <m/>
    <m/>
    <m/>
    <x v="1"/>
  </r>
  <r>
    <b v="0"/>
    <x v="0"/>
    <s v="Leviers forêt-bois"/>
    <s v="Marginal"/>
    <s v="Gestion durable des forêts et produits bois -&gt; scindé"/>
    <s v="Marginal"/>
    <m/>
    <x v="0"/>
    <n v="3"/>
    <m/>
    <m/>
    <m/>
    <m/>
    <m/>
    <x v="1"/>
  </r>
  <r>
    <b v="0"/>
    <x v="0"/>
    <s v="NA"/>
    <s v="Hors GES"/>
    <s v="Sobriété dans l’utilisation de la ressource en eau"/>
    <s v="Déclinaison sectorielle d'un levier"/>
    <m/>
    <x v="0"/>
    <m/>
    <n v="1"/>
    <n v="3"/>
    <m/>
    <m/>
    <m/>
    <x v="0"/>
  </r>
  <r>
    <b v="0"/>
    <x v="0"/>
    <s v="NA"/>
    <s v="Hors GES"/>
    <s v="Sobriété dans l’utilisation de la ressource en eau"/>
    <s v="Déclinaison sectorielle d'un levier"/>
    <m/>
    <x v="0"/>
    <m/>
    <n v="1"/>
    <n v="3"/>
    <m/>
    <m/>
    <m/>
    <x v="0"/>
  </r>
  <r>
    <b v="0"/>
    <x v="0"/>
    <m/>
    <m/>
    <m/>
    <m/>
    <m/>
    <x v="0"/>
    <m/>
    <m/>
    <n v="3"/>
    <m/>
    <m/>
    <m/>
    <x v="1"/>
  </r>
  <r>
    <b v="1"/>
    <x v="0"/>
    <m/>
    <m/>
    <m/>
    <m/>
    <m/>
    <x v="0"/>
    <m/>
    <m/>
    <n v="3"/>
    <m/>
    <m/>
    <m/>
    <x v="1"/>
  </r>
  <r>
    <b v="0"/>
    <x v="0"/>
    <s v="NA"/>
    <s v="Hors GES"/>
    <s v="Protection des zones de captage d’eau"/>
    <s v="Marginal"/>
    <m/>
    <x v="0"/>
    <m/>
    <m/>
    <n v="3"/>
    <m/>
    <m/>
    <m/>
    <x v="1"/>
  </r>
  <r>
    <b v="0"/>
    <x v="0"/>
    <s v="NA"/>
    <s v="Hors GES"/>
    <s v="Renforcement des services publics de l’eau potable et de l’assainissement"/>
    <s v="Réorganisation"/>
    <m/>
    <x v="0"/>
    <m/>
    <n v="1"/>
    <n v="3"/>
    <m/>
    <m/>
    <m/>
    <x v="0"/>
  </r>
  <r>
    <b v="0"/>
    <x v="0"/>
    <s v="NA"/>
    <s v="Hors GES"/>
    <s v="Absent"/>
    <s v="Eau"/>
    <b v="1"/>
    <x v="0"/>
    <m/>
    <n v="1"/>
    <n v="3"/>
    <m/>
    <m/>
    <m/>
    <x v="0"/>
  </r>
  <r>
    <b v="1"/>
    <x v="0"/>
    <s v="NA"/>
    <s v="Hors GES"/>
    <s v="Absent"/>
    <s v="Eau"/>
    <b v="1"/>
    <x v="0"/>
    <m/>
    <m/>
    <n v="3"/>
    <m/>
    <m/>
    <m/>
    <x v="1"/>
  </r>
  <r>
    <b v="1"/>
    <x v="0"/>
    <s v="NA"/>
    <s v="Hors GES"/>
    <s v="Désimperméabilisation des sols"/>
    <s v="Marginal"/>
    <m/>
    <x v="0"/>
    <m/>
    <n v="1"/>
    <n v="3"/>
    <m/>
    <m/>
    <n v="1"/>
    <x v="2"/>
  </r>
  <r>
    <b v="0"/>
    <x v="0"/>
    <s v="NA"/>
    <s v="Hors GES"/>
    <s v="Augmentation de la surface en aire protégée"/>
    <s v="Marginal"/>
    <m/>
    <x v="0"/>
    <m/>
    <m/>
    <m/>
    <m/>
    <m/>
    <n v="3"/>
    <x v="1"/>
  </r>
  <r>
    <b v="0"/>
    <x v="0"/>
    <s v="NA"/>
    <s v="Hors GES"/>
    <s v="Absent"/>
    <s v="Biodiversité"/>
    <b v="1"/>
    <x v="0"/>
    <m/>
    <m/>
    <m/>
    <m/>
    <m/>
    <n v="3"/>
    <x v="1"/>
  </r>
  <r>
    <b v="0"/>
    <x v="0"/>
    <s v="NA"/>
    <s v="Hors GES"/>
    <s v="Restauration des habitats naturels"/>
    <s v="Marginal"/>
    <m/>
    <x v="0"/>
    <m/>
    <m/>
    <n v="3"/>
    <m/>
    <m/>
    <n v="3"/>
    <x v="0"/>
  </r>
  <r>
    <b v="0"/>
    <x v="0"/>
    <s v="NA"/>
    <s v="Hors GES"/>
    <s v="Résorption des points noirs prioritaires de continuité écologique"/>
    <s v="Marginal"/>
    <m/>
    <x v="0"/>
    <m/>
    <m/>
    <m/>
    <m/>
    <m/>
    <n v="3"/>
    <x v="1"/>
  </r>
  <r>
    <b v="0"/>
    <x v="0"/>
    <s v="NA"/>
    <s v="Hors GES"/>
    <s v="Régulation des espèces exotiques envahissantes"/>
    <s v="Marginal"/>
    <m/>
    <x v="0"/>
    <m/>
    <m/>
    <m/>
    <m/>
    <m/>
    <n v="3"/>
    <x v="1"/>
  </r>
  <r>
    <b v="0"/>
    <x v="0"/>
    <s v="NA"/>
    <s v="Hors GES"/>
    <s v="Absent"/>
    <s v="Biodiversité"/>
    <b v="1"/>
    <x v="0"/>
    <m/>
    <m/>
    <m/>
    <m/>
    <m/>
    <n v="3"/>
    <x v="1"/>
  </r>
  <r>
    <b v="0"/>
    <x v="0"/>
    <s v="NA"/>
    <s v="Hors GES"/>
    <s v="Prévention des éboulements et glissement de terrain"/>
    <s v="Marginal"/>
    <m/>
    <x v="0"/>
    <m/>
    <n v="3"/>
    <m/>
    <m/>
    <m/>
    <m/>
    <x v="1"/>
  </r>
  <r>
    <b v="0"/>
    <x v="0"/>
    <s v="NA"/>
    <s v="Hors GES"/>
    <s v="Prévention des inondations, notamment via restauration des milieux aquatiques"/>
    <s v="Marginal"/>
    <m/>
    <x v="0"/>
    <m/>
    <n v="3"/>
    <m/>
    <m/>
    <m/>
    <m/>
    <x v="1"/>
  </r>
  <r>
    <b v="1"/>
    <x v="0"/>
    <s v="NA"/>
    <s v="Hors GES"/>
    <s v="Ralentissement du ruissellement sur les sols agricoles et artificialisés"/>
    <s v="Marginal"/>
    <m/>
    <x v="0"/>
    <m/>
    <n v="1"/>
    <n v="3"/>
    <m/>
    <m/>
    <n v="1"/>
    <x v="2"/>
  </r>
  <r>
    <b v="0"/>
    <x v="0"/>
    <s v="NA"/>
    <s v="Hors GES"/>
    <s v="Renaturation des villes et réduction de l'effet d'îlot de chaleur urbain"/>
    <s v="Marginal"/>
    <m/>
    <x v="0"/>
    <m/>
    <n v="3"/>
    <n v="1"/>
    <m/>
    <n v="1"/>
    <n v="1"/>
    <x v="3"/>
  </r>
  <r>
    <b v="0"/>
    <x v="0"/>
    <s v="NA"/>
    <s v="Hors GES"/>
    <s v="Protection et mise à l'abri des personnes vulnérables"/>
    <s v="Marginal"/>
    <m/>
    <x v="0"/>
    <m/>
    <n v="3"/>
    <m/>
    <m/>
    <m/>
    <m/>
    <x v="1"/>
  </r>
  <r>
    <b v="0"/>
    <x v="0"/>
    <s v="NA"/>
    <s v="Hors GES"/>
    <s v="Prévention des dégâts causés par le retrait-gonflement des argiles"/>
    <s v="Marginal"/>
    <m/>
    <x v="0"/>
    <m/>
    <n v="3"/>
    <m/>
    <m/>
    <m/>
    <m/>
    <x v="1"/>
  </r>
  <r>
    <b v="0"/>
    <x v="0"/>
    <s v="NA"/>
    <s v="Hors GES"/>
    <s v="Intégration de l’élévation du niveau des mers dans l’aménagement du littoral"/>
    <s v="Marginal"/>
    <m/>
    <x v="0"/>
    <m/>
    <n v="3"/>
    <m/>
    <m/>
    <m/>
    <m/>
    <x v="1"/>
  </r>
  <r>
    <b v="0"/>
    <x v="0"/>
    <s v="NA"/>
    <s v="Hors GES"/>
    <s v="Aménagement du territoire prenant en compte la ressource en eau"/>
    <s v="Marginal"/>
    <m/>
    <x v="0"/>
    <m/>
    <n v="1"/>
    <n v="3"/>
    <m/>
    <m/>
    <m/>
    <x v="0"/>
  </r>
  <r>
    <b v="1"/>
    <x v="0"/>
    <s v="NA"/>
    <s v="Hors GES"/>
    <s v="Renforcement de la résilience des services de santé"/>
    <s v="Marginal"/>
    <m/>
    <x v="0"/>
    <m/>
    <n v="3"/>
    <m/>
    <m/>
    <m/>
    <m/>
    <x v="1"/>
  </r>
  <r>
    <b v="1"/>
    <x v="0"/>
    <s v="NA"/>
    <s v="Hors GES"/>
    <s v="Préparation des services de secours"/>
    <s v="Marginal"/>
    <m/>
    <x v="0"/>
    <m/>
    <n v="3"/>
    <m/>
    <m/>
    <m/>
    <m/>
    <x v="1"/>
  </r>
  <r>
    <b v="0"/>
    <x v="1"/>
    <s v="NA"/>
    <s v="Hors GES"/>
    <s v="Absent"/>
    <s v="Adaptation"/>
    <b v="0"/>
    <x v="0"/>
    <m/>
    <n v="3"/>
    <m/>
    <m/>
    <m/>
    <m/>
    <x v="1"/>
  </r>
  <r>
    <b v="0"/>
    <x v="0"/>
    <s v="NA"/>
    <s v="Hors GES"/>
    <s v="Réduction de la vulnérabilité des infrastructures et services de transport"/>
    <s v="Marginal"/>
    <m/>
    <x v="0"/>
    <m/>
    <n v="3"/>
    <m/>
    <m/>
    <m/>
    <m/>
    <x v="1"/>
  </r>
  <r>
    <b v="0"/>
    <x v="0"/>
    <s v="NA"/>
    <s v="Hors GES"/>
    <s v="Confort thermique des transports collectifs et des mobilités actives"/>
    <s v="Marginal"/>
    <m/>
    <x v="0"/>
    <m/>
    <n v="3"/>
    <m/>
    <m/>
    <m/>
    <m/>
    <x v="1"/>
  </r>
  <r>
    <b v="0"/>
    <x v="0"/>
    <s v="NA"/>
    <s v="Hors GES"/>
    <s v="Réduction de la vulnérabilité des infrastructures énergétiques"/>
    <s v="Marginal"/>
    <b v="0"/>
    <x v="0"/>
    <m/>
    <n v="3"/>
    <m/>
    <m/>
    <m/>
    <m/>
    <x v="1"/>
  </r>
  <r>
    <b v="0"/>
    <x v="0"/>
    <s v="NA"/>
    <s v="Hors GES"/>
    <s v="Evolution de l’offre touristique de montagne"/>
    <s v="Marginal"/>
    <m/>
    <x v="0"/>
    <m/>
    <n v="3"/>
    <m/>
    <m/>
    <m/>
    <m/>
    <x v="1"/>
  </r>
  <r>
    <b v="0"/>
    <x v="0"/>
    <s v="NA"/>
    <s v="Hors GES"/>
    <s v="Evolution de l’offre touristique littorale"/>
    <s v="Marginal"/>
    <m/>
    <x v="0"/>
    <m/>
    <n v="3"/>
    <m/>
    <m/>
    <m/>
    <m/>
    <x v="1"/>
  </r>
  <r>
    <b v="1"/>
    <x v="0"/>
    <s v="NA"/>
    <s v="Hors GES"/>
    <s v="Continuité des activités économiques locales"/>
    <s v="Marginal"/>
    <m/>
    <x v="0"/>
    <m/>
    <n v="3"/>
    <m/>
    <m/>
    <m/>
    <m/>
    <x v="1"/>
  </r>
  <r>
    <b v="1"/>
    <x v="0"/>
    <s v="NA"/>
    <s v="Hors GES"/>
    <s v="Préservation des sites culturels et patrimoniaux"/>
    <s v="Marginal"/>
    <m/>
    <x v="0"/>
    <m/>
    <n v="3"/>
    <m/>
    <m/>
    <m/>
    <m/>
    <x v="1"/>
  </r>
  <r>
    <m/>
    <x v="2"/>
    <m/>
    <m/>
    <m/>
    <m/>
    <m/>
    <x v="2"/>
    <m/>
    <m/>
    <m/>
    <m/>
    <m/>
    <m/>
    <x v="4"/>
  </r>
  <r>
    <m/>
    <x v="2"/>
    <m/>
    <m/>
    <m/>
    <m/>
    <m/>
    <x v="2"/>
    <m/>
    <m/>
    <m/>
    <m/>
    <m/>
    <m/>
    <x v="4"/>
  </r>
  <r>
    <m/>
    <x v="2"/>
    <m/>
    <m/>
    <m/>
    <m/>
    <m/>
    <x v="2"/>
    <m/>
    <m/>
    <m/>
    <m/>
    <m/>
    <m/>
    <x v="4"/>
  </r>
  <r>
    <m/>
    <x v="2"/>
    <m/>
    <m/>
    <m/>
    <m/>
    <m/>
    <x v="2"/>
    <m/>
    <m/>
    <m/>
    <m/>
    <m/>
    <m/>
    <x v="4"/>
  </r>
  <r>
    <m/>
    <x v="2"/>
    <m/>
    <m/>
    <m/>
    <m/>
    <m/>
    <x v="2"/>
    <m/>
    <m/>
    <m/>
    <m/>
    <m/>
    <m/>
    <x v="4"/>
  </r>
  <r>
    <m/>
    <x v="2"/>
    <m/>
    <m/>
    <m/>
    <m/>
    <m/>
    <x v="2"/>
    <m/>
    <m/>
    <m/>
    <m/>
    <m/>
    <m/>
    <x v="4"/>
  </r>
  <r>
    <m/>
    <x v="2"/>
    <m/>
    <m/>
    <m/>
    <m/>
    <m/>
    <x v="2"/>
    <m/>
    <m/>
    <m/>
    <m/>
    <m/>
    <m/>
    <x v="4"/>
  </r>
  <r>
    <m/>
    <x v="2"/>
    <m/>
    <m/>
    <m/>
    <m/>
    <m/>
    <x v="2"/>
    <m/>
    <m/>
    <m/>
    <m/>
    <m/>
    <m/>
    <x v="4"/>
  </r>
  <r>
    <m/>
    <x v="2"/>
    <m/>
    <m/>
    <m/>
    <m/>
    <m/>
    <x v="2"/>
    <m/>
    <m/>
    <m/>
    <m/>
    <m/>
    <m/>
    <x v="4"/>
  </r>
  <r>
    <m/>
    <x v="2"/>
    <m/>
    <m/>
    <m/>
    <m/>
    <m/>
    <x v="2"/>
    <m/>
    <m/>
    <m/>
    <m/>
    <m/>
    <m/>
    <x v="4"/>
  </r>
  <r>
    <m/>
    <x v="2"/>
    <m/>
    <m/>
    <m/>
    <m/>
    <m/>
    <x v="2"/>
    <m/>
    <m/>
    <m/>
    <m/>
    <m/>
    <m/>
    <x v="4"/>
  </r>
  <r>
    <m/>
    <x v="2"/>
    <m/>
    <m/>
    <m/>
    <m/>
    <m/>
    <x v="2"/>
    <m/>
    <m/>
    <m/>
    <m/>
    <m/>
    <m/>
    <x v="4"/>
  </r>
  <r>
    <m/>
    <x v="2"/>
    <m/>
    <m/>
    <m/>
    <m/>
    <m/>
    <x v="2"/>
    <m/>
    <m/>
    <m/>
    <m/>
    <m/>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s v="Se déplacer"/>
    <x v="0"/>
    <x v="0"/>
    <s v="Baisse de 3,3 % de la distance annuelle parcourue en voiture entre 2019 et 2030"/>
    <s v="SNBC 3 - hypothèses AMS - Evolution des trafics voyageurs (Mds passagers kilomètre)"/>
    <s v="Déplacements de passagers en voitures particulières [voyageurs-kilomètres]"/>
    <s v="Déplacements de passagers en voitures particulières"/>
    <s v="Part modale des transports_x000a_Parc annuel des voitures particulières (données au 1er janvier de l'année N+1)"/>
    <s v="SDES, Bilan annuel des transports 2022 pour les années 2017 à 2022_x000a_Enquête de Mobilité des Personnes "/>
    <s v="Réduction des besoins de mobilité"/>
    <s v="Stabilisation (ou légère croissance) du nombre de kilomètres parcourus par an par personne tous modes confondus (hors transports internationaux), alors que celui-ci augmente en tendanciel"/>
    <s v="SNBC 3_x000a_Stabilisation (ou légère croissance) du nombre de kilomètres parcourus par an par personne tous modes confondus (hors transports internationaux)"/>
    <s v="Transport"/>
    <n v="3"/>
    <m/>
    <m/>
    <m/>
    <m/>
    <m/>
    <m/>
    <m/>
    <m/>
    <s v="Réduction besoins de mobilité"/>
    <s v="Sobriété mobilité"/>
    <s v="Sobriété des déplacements et changement de comportement, télétravail, &quot;ville du quart d'heure&quot;"/>
    <b v="0"/>
    <x v="0"/>
    <s v="Sobriété transports"/>
    <s v="Marginal"/>
    <s v="Réduction des déplacements "/>
    <m/>
    <x v="0"/>
    <b v="1"/>
    <n v="3"/>
    <m/>
    <m/>
    <m/>
    <n v="1"/>
    <m/>
    <x v="0"/>
    <x v="0"/>
  </r>
  <r>
    <s v="Se déplacer"/>
    <x v="1"/>
    <x v="1"/>
    <m/>
    <m/>
    <m/>
    <m/>
    <m/>
    <m/>
    <s v="Développement des mobilités douces (vélo et marche)"/>
    <s v="Forte augmentation de l’usage du vélo (de 5,5 à 19 Mds voy-km de 2019 à 2030 ; multiplication par 8 d’ici à 2050)."/>
    <s v="SNBC 3 :_x000a_Triplement de la mobilité à vélo entre 2019 et 2030 et multiplication par 8 d’ici 2050"/>
    <s v="Transport"/>
    <n v="3"/>
    <m/>
    <m/>
    <m/>
    <m/>
    <m/>
    <m/>
    <m/>
    <m/>
    <s v="Dév. des mobilités douces"/>
    <s v="Mobilités douces"/>
    <s v="Plan vélo et marche, mobilité des salariés, circulation apaisée en ville (appui aux collectivités)"/>
    <b v="1"/>
    <x v="0"/>
    <s v="Report modal vers TC et vélo"/>
    <s v="Regroupements / scissions"/>
    <s v="Vélo et transport en commun (report modal)"/>
    <m/>
    <x v="0"/>
    <b v="1"/>
    <n v="3"/>
    <m/>
    <m/>
    <m/>
    <n v="1"/>
    <m/>
    <x v="0"/>
    <x v="0"/>
  </r>
  <r>
    <s v="Se déplacer"/>
    <x v="1"/>
    <x v="1"/>
    <m/>
    <m/>
    <m/>
    <m/>
    <m/>
    <m/>
    <s v="Développement des transports en commun"/>
    <s v="Augmentation de l’usage des transports en commun (bus, car, train) de 25 % entre 2019 et 2030, et de 55% d’ici 2050. "/>
    <s v="SNBC 3 :_x000a_Augmentation de l’usage des transports en commun (bus, car, train) de 25 % d’ici 2030, et de 55% d’ici 2050. "/>
    <s v="Transport"/>
    <n v="3"/>
    <m/>
    <m/>
    <m/>
    <m/>
    <m/>
    <m/>
    <m/>
    <m/>
    <s v="Dév. des transports en commun"/>
    <s v="Transports co."/>
    <s v="Infrastructures de transports alternatifs à la route (dont SERM et car express), massification via rabattement et densification des quartiers de gare, passe rail, titre unique, alternatives en zone peu dense, trains longues distances (y compris international)"/>
    <b v="0"/>
    <x v="0"/>
    <s v="Report modal vers TC et vélo"/>
    <s v="Regroupements / scissions"/>
    <s v="Vélo et transport en commun (report modal)"/>
    <m/>
    <x v="0"/>
    <b v="1"/>
    <n v="3"/>
    <m/>
    <m/>
    <m/>
    <n v="1"/>
    <m/>
    <x v="0"/>
    <x v="0"/>
  </r>
  <r>
    <s v="Se déplacer"/>
    <x v="1"/>
    <x v="1"/>
    <m/>
    <m/>
    <m/>
    <m/>
    <m/>
    <m/>
    <s v="Développement du covoiturage"/>
    <s v="Au total, tous types de trajets confondus, le nombre de personnes par voiture passe de 1,65 en 2019 à 1,72 en 2030 puis à 1,82 en 2050"/>
    <s v="SNBC 3 :_x000a_Le nombre moyen de personnes par voiture pour les trajets courte distance (trajets de moins de 100 km) passe de 1,43 à 1,51 d’ici 2030, ce qui correspond à un triplement du nombre de trajets covoiturés entre 2019 et 2027 et à une poursuite de la trajectoire jusqu’à 2030. Au total, tous types de trajets confondus, le nombre de personnes par voiture passe de 1,65 en 2019 à 1,72 en 2030 puis à 1,82 en 2050"/>
    <s v="Transport"/>
    <n v="3"/>
    <m/>
    <m/>
    <m/>
    <m/>
    <m/>
    <m/>
    <m/>
    <m/>
    <s v="Covoiturage"/>
    <s v="Covoiturage"/>
    <s v=" covoiturage (services et aménagements)"/>
    <b v="1"/>
    <x v="0"/>
    <s v="Covoiturage"/>
    <s v="Marginal"/>
    <s v="Covoiturage"/>
    <m/>
    <x v="0"/>
    <b v="1"/>
    <n v="3"/>
    <m/>
    <m/>
    <m/>
    <n v="1"/>
    <m/>
    <x v="0"/>
    <x v="0"/>
  </r>
  <r>
    <s v="Se déplacer"/>
    <x v="0"/>
    <x v="2"/>
    <s v="Réduction de xx % de l’intensité carbone des VP du parc roulant d'ici 2030 et 100 % d'ici 2050 et de yy % la consommation énergétique"/>
    <s v="à préciser (SNBC 3)"/>
    <s v="Voitures particulières électriques en circulation dans le parc roulant [%]"/>
    <s v="Part des voitures particulières électriques au sein du parc roulant"/>
    <s v="Consommation carburants routiers_x000a_Voitures particulières électriques en circulation dans le parc roulant"/>
    <s v="SDES"/>
    <s v="Electrification des véhicules particuliers"/>
    <s v="15% du parc de véhicules particuliers électrique, 100 % en 2050_x000a_"/>
    <s v="SNBC 3 :_x000a_La part de voitures particulières électriques dans les ventes de véhicules neufs augmente rapidement, pour atteindre 66 % en 2030, ce qui porte la part de voitures électriques dans le parc roulant à 15 %. Dès 2035, conformément à la législation européenne (règlement (UE) 2023/851), la vente de véhicules légers neufs thermiques, y compris hybrides rechargeables et hybrides cesse, ce qui permet d’atteindre une électrification complète du parc en 2050."/>
    <s v="Transport"/>
    <n v="3"/>
    <m/>
    <m/>
    <m/>
    <m/>
    <m/>
    <m/>
    <m/>
    <m/>
    <s v="Electrification des VP et deux roues"/>
    <s v="Elec. VP et 2RM"/>
    <s v="Incitation des particuliers (orientation vers des VP électriques et légers), leasing social, bornes de recharge VP, flottes d’entreprises, VUL"/>
    <b v="1"/>
    <x v="0"/>
    <s v="Electrification VP_x000a_2 roues"/>
    <s v="Regroupements / scissions"/>
    <s v="Véhicules électriques (particuliers)"/>
    <m/>
    <x v="1"/>
    <b v="1"/>
    <n v="3"/>
    <m/>
    <m/>
    <m/>
    <n v="1"/>
    <m/>
    <x v="0"/>
    <x v="0"/>
  </r>
  <r>
    <s v="Se déplacer"/>
    <x v="1"/>
    <x v="1"/>
    <m/>
    <m/>
    <m/>
    <m/>
    <m/>
    <m/>
    <s v="Amélioration de l'efficacité énergétique des véhicules particuliers"/>
    <s v="Baisse de 7 % de la consommation du parc de véhicules particuliers thermiques entre 2019 et 2030"/>
    <s v="SNBC 3 - hypothèses AMS - extrapolation Parc roulant des véhicules particuliers (%) et Consommation moyenne réelle du parc roulant de véhicules particuliers _x000a_"/>
    <s v="Transport"/>
    <n v="3"/>
    <m/>
    <m/>
    <m/>
    <m/>
    <m/>
    <m/>
    <m/>
    <m/>
    <s v="Efficacité des véhicules particuliers"/>
    <s v="Efficacité VP"/>
    <s v="Efficacité des VP neuves, développement des véhicules intermédiaires et de l'autopartage"/>
    <b v="0"/>
    <x v="1"/>
    <s v="Efficacité VP"/>
    <s v="Marginal"/>
    <s v="Efficacité et carburants décarbonés des véhicules privés"/>
    <m/>
    <x v="0"/>
    <b v="1"/>
    <n v="3"/>
    <m/>
    <m/>
    <m/>
    <n v="1"/>
    <m/>
    <x v="0"/>
    <x v="0"/>
  </r>
  <r>
    <s v="Se déplacer"/>
    <x v="1"/>
    <x v="1"/>
    <m/>
    <m/>
    <m/>
    <m/>
    <m/>
    <m/>
    <s v="Incorporation de carburants durables (véhicules particuliers)"/>
    <s v="Passer de 10 % de carburants durables en 2023 à 13 % en 2030, 30 % en 2040 et 100 % en 2050"/>
    <s v="SNBC 3 - Hypothèses AMS - Taux d'incorporation de biocarburants et carburants de synthèse (%)"/>
    <s v="Transport"/>
    <n v="3"/>
    <m/>
    <m/>
    <m/>
    <m/>
    <m/>
    <m/>
    <m/>
    <m/>
    <s v="Biocarburants pour les VP"/>
    <s v="Biocarb. VP"/>
    <m/>
    <b v="0"/>
    <x v="1"/>
    <s v="Biocarburants"/>
    <s v="Regroupements / scissions"/>
    <s v="Efficacité et carburants décarbonés des véhicules privés"/>
    <s v="Réorganisation"/>
    <x v="0"/>
    <b v="0"/>
    <n v="3"/>
    <m/>
    <m/>
    <m/>
    <m/>
    <m/>
    <x v="1"/>
    <x v="1"/>
  </r>
  <r>
    <s v="Se déplacer"/>
    <x v="0"/>
    <x v="3"/>
    <s v="Baisse de 3 % de consommation de kérosène fossile du secteur aérien d'ici 2030 et de 88 % d'ici 2050 par rapport à 2019 pour les soutes internationales"/>
    <s v="SNBC 3 - hypothèses AMS - Consommation des soutes aériennes internationales (TWh)"/>
    <s v="Manquant ?"/>
    <s v="Manquant_x000a_Emissions annuelles du transport aérien domestique  _x000a_Soutes internationales aériennes"/>
    <s v="Part modale des transports"/>
    <m/>
    <s v="Maîtrise du trafic aérien"/>
    <s v="D'ici 2030, par rapport à 2019, une baisse de 24 % sur les vols intérieurs à l’hexagone contre une croissance de 16 % vers les outre mers et de 17 % pour le trafic international. _x000a_A horizon 2050, le trafic baisse de 38 % par rapport à 2019 sur les liaisons intérieures à l’hexagone dans une logique de report modal vers le train ; croit de 22% sur les vols vers les DROM et de 17 % sur les vols à l’international. "/>
    <s v="SNBC 3 :_x000a_D'ici 2030, par rapport à 2019, une baisse de 24 % sur les vols intérieurs à l’hexagone contre une croissance de 16 % vers les outre mers et de 17 % pour le trafic international. A horizon 2050, le trafic baisse de 38 % par rapport à 2019 sur les liaisons intérieures à l’hexagone dans une logique de report modal vers le train ; croit de 22% sur les vols vers les DROM et de 17 % sur les vols à l’international. "/>
    <s v="Transport"/>
    <n v="3"/>
    <m/>
    <m/>
    <m/>
    <m/>
    <m/>
    <m/>
    <m/>
    <m/>
    <s v="Maîtrise du trafic aérien"/>
    <s v="Sobriété aérien"/>
    <s v="Incitations à la sobriété, trains internationaux"/>
    <b v="1"/>
    <x v="0"/>
    <s v="Maîtrise demande aérienne"/>
    <s v="Marginal"/>
    <s v="Absent"/>
    <m/>
    <x v="1"/>
    <b v="1"/>
    <n v="3"/>
    <m/>
    <m/>
    <m/>
    <m/>
    <m/>
    <x v="1"/>
    <x v="0"/>
  </r>
  <r>
    <s v="Se déplacer"/>
    <x v="1"/>
    <x v="1"/>
    <m/>
    <m/>
    <m/>
    <m/>
    <m/>
    <m/>
    <s v="Amélioration de l'efficacité des aéronefs"/>
    <s v="Baisse de la consommation unitaire (par passager-km) de 14 % d’ici 2030 et de 33% d’ici à 2050 par rapport à 2019"/>
    <s v="SNBC 3_x000a_Baisser la consommation unitaire (par passager-km) de 14 % d’ici 2030 et de 33% d’ici à 2050 par rapport à 2019"/>
    <s v="Transport"/>
    <n v="3"/>
    <m/>
    <m/>
    <m/>
    <m/>
    <m/>
    <m/>
    <m/>
    <m/>
    <s v="Efficacité des aéronefs"/>
    <s v="Efficacité avions"/>
    <s v="Avion bas carbone, optimisation des trajectoires, réglementation utilisation APU"/>
    <b v="0"/>
    <x v="1"/>
    <s v="Efficacité aéronefs"/>
    <s v="Marginal"/>
    <s v="Absent"/>
    <m/>
    <x v="1"/>
    <b v="1"/>
    <n v="3"/>
    <m/>
    <m/>
    <m/>
    <m/>
    <m/>
    <x v="1"/>
    <x v="0"/>
  </r>
  <r>
    <s v="Se déplacer"/>
    <x v="1"/>
    <x v="1"/>
    <m/>
    <m/>
    <m/>
    <m/>
    <m/>
    <m/>
    <s v="Incorporation de carburants durables (aviation)"/>
    <s v="6 % de carburants durables"/>
    <s v="SNBC 3_x000a_6% en 2030 et 20% en 2035, en cohérence avec le règlement européen RefuelEU, puis va au-delà à horizon 2050 avec un taux d’incorporation de 85% contre 70% dans Refuel"/>
    <s v="Transport"/>
    <n v="3"/>
    <m/>
    <m/>
    <m/>
    <m/>
    <m/>
    <m/>
    <m/>
    <m/>
    <s v="Carburants d’aviation durables"/>
    <s v="SAF"/>
    <s v="Carburants durables pour l’aviation"/>
    <b v="0"/>
    <x v="1"/>
    <s v="SAFs"/>
    <s v="Marginal"/>
    <s v="Absent"/>
    <m/>
    <x v="1"/>
    <b v="1"/>
    <n v="3"/>
    <m/>
    <m/>
    <m/>
    <m/>
    <m/>
    <x v="1"/>
    <x v="0"/>
  </r>
  <r>
    <s v="Produire"/>
    <x v="0"/>
    <x v="4"/>
    <s v="Baisse de 10 % du trafic de poids lourds entre 2019 et 2030 (en véhicules.km)"/>
    <s v="SNBC 3 - hypothèses AMS - Evolution des circulations (Mds véhicules-kilomètre)"/>
    <m/>
    <s v="Manquant, à voir avec DGITM"/>
    <m/>
    <m/>
    <s v="Maîtrise de la demande de transport de marchandises"/>
    <s v="Hausse de la demande totale de transport de marchandises de 3,5% en 2030 par rapport à 2019, moins forte que dans un scénario tendanciel (7,5 %). En 2050, la hausse est de 11,5% par rapport à 2019. "/>
    <s v="SNBC 3_x000a_Hausse de la demande totale de transport de marchandises de 3,5% en 2030 par rapport à 2019, moins forte que dans un scénario tendanciel (7,5 %). En 2050, la hausse est de 11,5% par rapport à 2019."/>
    <s v="Transport"/>
    <n v="3"/>
    <m/>
    <m/>
    <m/>
    <m/>
    <m/>
    <m/>
    <m/>
    <m/>
    <s v="Sobriété marchandises"/>
    <s v="Sobriété fret"/>
    <s v="Maitrise de la demande de transport"/>
    <b v="0"/>
    <x v="1"/>
    <s v="Sobriété marchandises"/>
    <s v="Marginal"/>
    <s v="Fret : Efficacité et sobriété logistique"/>
    <m/>
    <x v="0"/>
    <b v="1"/>
    <n v="3"/>
    <m/>
    <m/>
    <n v="1"/>
    <n v="1"/>
    <m/>
    <x v="2"/>
    <x v="0"/>
  </r>
  <r>
    <s v="Produire"/>
    <x v="1"/>
    <x v="1"/>
    <m/>
    <m/>
    <m/>
    <m/>
    <m/>
    <m/>
    <s v="Développement du fret ferroviaire (report modal)"/>
    <s v="La part modale du fret ferroviaire double entre 2019 et 2030 pour atteindre 18 %, puis croit jusqu’à 25% à horizon 2050, en accord avec la stratégie nationale pour le fret ferroviaire."/>
    <s v="SNBC 3 :_x000a_La part modale du fret ferroviaire double entre 2019 et 2030 pour atteindre 18 %, puis croit jusqu’à 25% à horizon 2050"/>
    <s v="Transport"/>
    <n v="3"/>
    <m/>
    <m/>
    <m/>
    <m/>
    <m/>
    <m/>
    <m/>
    <m/>
    <s v="Report modal du fret routier"/>
    <s v="Report modal fret"/>
    <s v="Développement du fret ferroviaire, développement du fret fluvial"/>
    <b v="0"/>
    <x v="0"/>
    <s v="Report ferroviaire et fluvial"/>
    <s v="Marginal"/>
    <s v="Fret : carburants décarbonés et multimodalité"/>
    <m/>
    <x v="0"/>
    <b v="1"/>
    <n v="3"/>
    <m/>
    <m/>
    <m/>
    <n v="1"/>
    <m/>
    <x v="0"/>
    <x v="0"/>
  </r>
  <r>
    <s v="Produire"/>
    <x v="1"/>
    <x v="1"/>
    <m/>
    <m/>
    <m/>
    <m/>
    <m/>
    <m/>
    <s v="Développement du fret fluvial (report modal)"/>
    <s v="La part modale du fluvial passe de 2 % actuellement à 3 % en 2030 et 4% en 2050."/>
    <s v="SNBC 3 :_x000a_Augmentation de 50% de la part modale du fluvial d’ici 2030. La part modale du fluvial passe de 2 % actuellement à 3 % en 2030 et 4% en 2050."/>
    <s v="Transport"/>
    <n v="3"/>
    <m/>
    <m/>
    <m/>
    <m/>
    <m/>
    <m/>
    <m/>
    <m/>
    <s v="Report modal du fret routier"/>
    <s v="Report modal fret"/>
    <s v="Développement du fret ferroviaire, développement du fret fluvial"/>
    <b v="0"/>
    <x v="0"/>
    <s v="Report ferroviaire et fluvial"/>
    <s v="Marginal"/>
    <s v="Fret : carburants décarbonés et multimodalité"/>
    <m/>
    <x v="0"/>
    <b v="1"/>
    <n v="3"/>
    <m/>
    <m/>
    <m/>
    <n v="1"/>
    <m/>
    <x v="0"/>
    <x v="0"/>
  </r>
  <r>
    <s v="Produire"/>
    <x v="1"/>
    <x v="1"/>
    <m/>
    <m/>
    <m/>
    <m/>
    <m/>
    <m/>
    <s v="Optimisation du chargements des poids lourds"/>
    <s v="le chargement moyen passe de 8,0 tonnes en 2019 à 8,3 d’ici 2030 et à 8,9 d’ici 2050"/>
    <s v="SNBC 3_x000a_le chargement moyen passe de 8,0 tonnes en 2019 à 8,3 d’ici 2030 et à 8,9 d’ici 2050."/>
    <s v="Transport"/>
    <n v="3"/>
    <m/>
    <m/>
    <m/>
    <m/>
    <m/>
    <m/>
    <m/>
    <m/>
    <s v="Efficacité logistique"/>
    <s v="Efficacité fret"/>
    <s v="Massification des flux, numérique, dernier kilomètre (Cyclo-logistique, logistique urbaine), Optimisation des chargements"/>
    <b v="0"/>
    <x v="0"/>
    <s v="EE et chargement des PL (p. 7) ou Efficacité PL + chargement des PL (p. 6)"/>
    <s v="Regroupements / scissions"/>
    <s v="Fret : Efficacité et sobriété logistique"/>
    <m/>
    <x v="0"/>
    <b v="1"/>
    <n v="3"/>
    <m/>
    <m/>
    <m/>
    <n v="1"/>
    <m/>
    <x v="0"/>
    <x v="0"/>
  </r>
  <r>
    <s v="Produire"/>
    <x v="0"/>
    <x v="5"/>
    <s v="Réduction de xx % de l’intensité carbone des véhicules routiers à usage professionnel du parc roulant d'ici 2030 et 100 % d'ici 2050 et de yy % la consommation énergétique"/>
    <s v="à préciser (SNBC 3)"/>
    <m/>
    <s v="Part des poids lourds électriques dans le parc roulant_x000a_Part des véhicules utilitaires légers électriques dans le parc roulant"/>
    <m/>
    <m/>
    <s v="Electrification des véhicules utilitaires légers"/>
    <s v="12% de la flotte de véhicules utilitaires légers électrifiée en 2030, 68 % en 2040, 99 % en 2050"/>
    <s v="SNBC 3 - hypothèses AMS - Parc roulant des véhicules utilitaires légers (%)"/>
    <s v="Transport"/>
    <n v="3"/>
    <m/>
    <m/>
    <m/>
    <m/>
    <m/>
    <m/>
    <m/>
    <m/>
    <s v="Electrification des VUL et PL"/>
    <s v="Elec. VUL et PL"/>
    <s v="Aides à l’électrification, éco-contribution des chargeurs et obligations de verdissement des flottes, déploiement des bornes de recharge"/>
    <b v="0"/>
    <x v="0"/>
    <s v="Electrification VUL_x000a_"/>
    <m/>
    <s v="Fret : carburants décarbonés et multimodalité"/>
    <m/>
    <x v="0"/>
    <b v="1"/>
    <n v="3"/>
    <m/>
    <m/>
    <m/>
    <n v="1"/>
    <m/>
    <x v="0"/>
    <x v="0"/>
  </r>
  <r>
    <s v="Produire"/>
    <x v="1"/>
    <x v="1"/>
    <m/>
    <m/>
    <m/>
    <m/>
    <m/>
    <m/>
    <s v="Electrification des poids lourds"/>
    <s v="10 % de la flotte de poids lourds électrifiée en 2030"/>
    <s v="SNBC 3_x000a_La part de poids lourds (PL) électriques dans les immatriculations neuves augmente rapidement pour atteindre 50 % en 2030, conformément aux annonces des principaux constructeurs dans le cadre de la révision du règlement européen sur les émissions de CO2 des véhicules lourds neufs (règlement (UE) 2019/1242 révisé en 2024), ce qui porte la part des poids lourds électriques à 10% du parc roulant en 2030. A horizon 2050, 85% des poids lourds neufs sont électriques, 5% des poids lourds neufs fonctionnent à l’hydrogène et 10% fonctionnent à l’aide de biocarburants liquides. "/>
    <s v="Transport"/>
    <n v="3"/>
    <m/>
    <m/>
    <m/>
    <m/>
    <m/>
    <m/>
    <m/>
    <m/>
    <m/>
    <m/>
    <m/>
    <b v="0"/>
    <x v="0"/>
    <s v="Electrification / H2 PL"/>
    <m/>
    <s v="Fret : carburants décarbonés et multimodalité"/>
    <m/>
    <x v="0"/>
    <b v="1"/>
    <n v="3"/>
    <m/>
    <m/>
    <m/>
    <m/>
    <m/>
    <x v="1"/>
    <x v="0"/>
  </r>
  <r>
    <s v="Produire"/>
    <x v="1"/>
    <x v="1"/>
    <m/>
    <m/>
    <m/>
    <m/>
    <m/>
    <m/>
    <s v="Amélioration de l'efficacité des véhicules utilitaires légers et des poids lourds"/>
    <s v="Baisse de la consommation de 9 % pour les poids lourds neufs et de 10 % pour les VUL entre 2019 et 2030"/>
    <s v="SNBC 3 _x000a_la consommation des VUL diesel neufs diminue de 10% d’ici 2030 par rapport à 2023. La consommation des PL diesel neufs diminue de 9 % d’ici 2030 par rapport à 2019. "/>
    <s v="Transport"/>
    <n v="3"/>
    <m/>
    <m/>
    <m/>
    <m/>
    <m/>
    <m/>
    <m/>
    <m/>
    <s v="Efficacité des VUL et PL"/>
    <s v="Efficacité VUL/PL"/>
    <m/>
    <b v="0"/>
    <x v="1"/>
    <s v="EE et chargement des PL (p. 7) ou Efficacité PL + chargement des PL (p. 6)"/>
    <s v="Regroupements / scissions"/>
    <s v="Fret : Efficacité et sobriété logistique"/>
    <m/>
    <x v="0"/>
    <b v="1"/>
    <n v="3"/>
    <m/>
    <m/>
    <m/>
    <m/>
    <m/>
    <x v="1"/>
    <x v="0"/>
  </r>
  <r>
    <s v="Se déplacer"/>
    <x v="1"/>
    <x v="1"/>
    <m/>
    <m/>
    <m/>
    <m/>
    <m/>
    <m/>
    <s v="Electrification des transports en commun"/>
    <s v="15% de la flotte de bus et cars électrifiés en 2030, 54 % en 2040, 79 % en 2050"/>
    <s v="SNBC 3 - hypothèses AMS - Parc roulant des autobus et autocars (%)"/>
    <s v="Transport"/>
    <n v="3"/>
    <m/>
    <m/>
    <m/>
    <m/>
    <m/>
    <m/>
    <m/>
    <m/>
    <s v="Décarbonation des TC"/>
    <s v="Décarb. TC"/>
    <s v="_x000a_Décarbonation des transports en commun"/>
    <b v="0"/>
    <x v="0"/>
    <s v="Electrification / H2 PL"/>
    <s v="Regroupements / scissions"/>
    <s v="Bus et cars électriques"/>
    <m/>
    <x v="0"/>
    <b v="1"/>
    <n v="3"/>
    <m/>
    <m/>
    <m/>
    <n v="1"/>
    <m/>
    <x v="0"/>
    <x v="0"/>
  </r>
  <r>
    <s v="Produire"/>
    <x v="1"/>
    <x v="1"/>
    <m/>
    <m/>
    <m/>
    <m/>
    <m/>
    <m/>
    <s v="Incorporation de carburants durables (transport routier)"/>
    <s v="Passer de 10 % de carburants durables en 2023 à 13 % en 2030, 30 % en 2040 et 100 % en 2050"/>
    <s v="SNBC 3 - Hypothèses AMS - Taux d'incorporation de biocarburants et carburants de synthèse (%)"/>
    <s v="Transport"/>
    <n v="3"/>
    <m/>
    <m/>
    <m/>
    <m/>
    <m/>
    <m/>
    <m/>
    <m/>
    <s v="Biocarburants pour fret routier"/>
    <s v="Biocarb. PL"/>
    <s v="biocarburants/H2"/>
    <b v="0"/>
    <x v="1"/>
    <s v="Bio/e-carburants"/>
    <s v="Regroupements / scissions"/>
    <s v="Fret : carburants décarbonés et multimodalité"/>
    <s v="Réorganisation"/>
    <x v="0"/>
    <b v="0"/>
    <n v="3"/>
    <m/>
    <m/>
    <m/>
    <m/>
    <m/>
    <x v="1"/>
    <x v="1"/>
  </r>
  <r>
    <s v="Produire"/>
    <x v="0"/>
    <x v="6"/>
    <s v="Baisse de 34 % des carburants fossiles dans les soutes maritimes entre 2019 et 2030 puis de 100 % à horizon 2050"/>
    <s v="SNBC3 - hypothèses AMS - Consommation des soutes maritimes internationales"/>
    <m/>
    <s v="Soutes internationales maritimes"/>
    <m/>
    <m/>
    <s v="Réduction de la vitesse des navires"/>
    <s v="Réduction de 12 % de la consommation par t.km grâce à la baisse de vitesse entre 2019 et 2030"/>
    <s v="SNBC 3 run2, Baisse de vitesse"/>
    <s v="Transport"/>
    <n v="3"/>
    <m/>
    <m/>
    <m/>
    <m/>
    <m/>
    <m/>
    <m/>
    <m/>
    <s v="Vitesse des navires"/>
    <s v="Vitesse navires"/>
    <m/>
    <b v="0"/>
    <x v="0"/>
    <s v="Vitesse des navires"/>
    <s v="Marginal"/>
    <s v="Fret : Efficacité et sobriété logistique"/>
    <m/>
    <x v="0"/>
    <b v="1"/>
    <n v="3"/>
    <m/>
    <m/>
    <m/>
    <n v="1"/>
    <m/>
    <x v="0"/>
    <x v="0"/>
  </r>
  <r>
    <s v="Produire"/>
    <x v="1"/>
    <x v="1"/>
    <m/>
    <m/>
    <m/>
    <m/>
    <m/>
    <m/>
    <s v="Maîtrise de la demande"/>
    <m/>
    <s v="SNBC3 _x000a_le trafic maritime augmente de 1,5 % par an entre 2023 et 2035 puis se stabilise "/>
    <s v="Transport"/>
    <n v="3"/>
    <m/>
    <m/>
    <m/>
    <m/>
    <m/>
    <m/>
    <m/>
    <m/>
    <m/>
    <m/>
    <m/>
    <b v="0"/>
    <x v="1"/>
    <m/>
    <m/>
    <m/>
    <m/>
    <x v="0"/>
    <b v="1"/>
    <n v="3"/>
    <m/>
    <m/>
    <m/>
    <m/>
    <m/>
    <x v="1"/>
    <x v="0"/>
  </r>
  <r>
    <s v="Produire"/>
    <x v="1"/>
    <x v="1"/>
    <m/>
    <m/>
    <m/>
    <m/>
    <m/>
    <m/>
    <s v="Développement des propulsions alternatives aux moteurs thermiques"/>
    <s v="A définir"/>
    <s v="à définir"/>
    <s v="Transport"/>
    <n v="3"/>
    <m/>
    <m/>
    <m/>
    <m/>
    <m/>
    <m/>
    <m/>
    <m/>
    <m/>
    <m/>
    <m/>
    <b v="0"/>
    <x v="1"/>
    <m/>
    <m/>
    <m/>
    <m/>
    <x v="0"/>
    <b v="0"/>
    <n v="3"/>
    <m/>
    <m/>
    <m/>
    <m/>
    <m/>
    <x v="1"/>
    <x v="1"/>
  </r>
  <r>
    <s v="Produire"/>
    <x v="1"/>
    <x v="1"/>
    <m/>
    <m/>
    <m/>
    <m/>
    <m/>
    <m/>
    <s v="Amélioration de l'efficacité énergétique des navires"/>
    <s v="Réduction de 8 % de la consommation par t.km grâce à l'efficacité des navires entre 2019 et 2030"/>
    <s v="SNBC 3 run2, Efficacité énergétique pure"/>
    <s v="Transport"/>
    <n v="3"/>
    <m/>
    <m/>
    <m/>
    <m/>
    <m/>
    <m/>
    <m/>
    <m/>
    <s v="Efficacité des navires"/>
    <s v="Efficacité navires"/>
    <s v="Incorporation des technologies maritimes de décarbonation et sobriété "/>
    <b v="0"/>
    <x v="1"/>
    <s v="Efficacité des navires"/>
    <s v="Marginal"/>
    <s v="Fret : Efficacité et sobriété logistique"/>
    <m/>
    <x v="0"/>
    <b v="1"/>
    <n v="3"/>
    <m/>
    <m/>
    <m/>
    <n v="1"/>
    <m/>
    <x v="0"/>
    <x v="0"/>
  </r>
  <r>
    <s v="Produire"/>
    <x v="1"/>
    <x v="1"/>
    <m/>
    <m/>
    <m/>
    <m/>
    <m/>
    <m/>
    <s v="Incorporation des carburants durables (navires)"/>
    <s v="Faire une moyenne passagers / fret ?"/>
    <s v="SNBC 3_x000a_Passagers : diminution de l'intensité des émissions de gaz à effet de serre des carburants utilisés de 6% en 2030 et en atteignant jusqu'à 80 % d'ici 2050_x000a_Fret : réduction de 12 % de l'intensité carbone de l'énergie utilisée à bord des navires en 2030_x000a_11% de taux d’incorporation en biocarburants et de 5% de e-fuels du scénario à horizon 2030"/>
    <s v="Transport"/>
    <n v="3"/>
    <m/>
    <m/>
    <m/>
    <m/>
    <m/>
    <m/>
    <m/>
    <m/>
    <s v="Biocarburants maritimes"/>
    <s v="Biocarb. marins"/>
    <s v="Carburants maritimes durables ; déploiement d’énergies décarbonées dans les ports"/>
    <b v="0"/>
    <x v="1"/>
    <s v="Biocarburants des navires"/>
    <s v="Regroupements / scissions"/>
    <s v="Fret : carburants décarbonés et multimodalité"/>
    <s v="Réorganisation"/>
    <x v="0"/>
    <b v="1"/>
    <n v="3"/>
    <m/>
    <m/>
    <m/>
    <n v="3"/>
    <m/>
    <x v="0"/>
    <x v="2"/>
  </r>
  <r>
    <s v="Se loger"/>
    <x v="2"/>
    <x v="7"/>
    <s v="Baisse de la consommation énergétique de chauffage du résidentiel de 19 % d'ici 2030, 41 % d'ici 2040 et 47 % d'ici 2050 _x000a_Décarbonation progressive du mix énergétique, avec une part de gaz fossiles et fioul passant de 36 % en 2023 à 24 % en 2030 puis 8 % en 2040 et 0 % en 2050."/>
    <s v="SNBC 3 - hypothèses AMS - Consommation énergétique de chauffage du parc résidentiel (TWh Ef/an), Evolution des consommations d'énergie totales du secteur résidentiel (TWh Ef/an)"/>
    <m/>
    <s v="Consommation finale d’énergie du secteur résidentiel - corrigée des variations climatiques"/>
    <s v="Production de chaleur par les pompes à chaleur_x000a_'Pompes à chaleur géothermiques individuelles vendues_x000a_'Pompes à chaleur aérothermiques individuelles installées _x000a_'Nombre de structures Mon Accompagnateur Rénov'_x000a_Nombre d'entreprises qualifiées RGE &quot;travaux&quot;"/>
    <s v="ONRE"/>
    <s v="Sobriété énergétique du résidentiel"/>
    <s v="Baisse des consommations de 7 % entre 2020 et 2030 et 10 % entre 2020 et 2050 liée aux efforts de sobriété des ménages"/>
    <s v="SNBC 3_x000a_baisse des consommations de 7 % entre 2020 et 2030 et 10 % entre 2020 et 2050 liée aux efforts de sobriété des ménages"/>
    <s v="Bâtiment"/>
    <m/>
    <m/>
    <m/>
    <n v="3"/>
    <m/>
    <m/>
    <m/>
    <m/>
    <m/>
    <s v="Sobriété énergétique résidentiel"/>
    <s v="Sobriété résid."/>
    <m/>
    <b v="0"/>
    <x v="0"/>
    <s v="Sobriété résidentiel"/>
    <s v="Marginal"/>
    <s v="Sobriété et isolation des bâtiments (résidentiel)"/>
    <s v="Réorganisation"/>
    <x v="1"/>
    <b v="1"/>
    <n v="3"/>
    <m/>
    <m/>
    <m/>
    <m/>
    <m/>
    <x v="1"/>
    <x v="0"/>
  </r>
  <r>
    <s v="Se loger"/>
    <x v="1"/>
    <x v="1"/>
    <m/>
    <m/>
    <m/>
    <m/>
    <m/>
    <m/>
    <s v="Sortie des chaudières au fioul (résidentiel)"/>
    <s v="Diminution de 60 % du parc de chaudières fioul entre 2023 et 2030 (environ 250 000 foyers par an en moyenne) puis disparition des chaudières fioul"/>
    <s v="SNBC 3 _x000a_remplacement par un système de chauffage décarboné de 60 % des chaudières au fioul d’ici 2030, soit environ 250 000 foyers par an. Un peu plus d’un million de foyers (1,3 M) sont encore chauffés au fioul en 2030 et presque plus aucun foyer n’est chauffé au fioul en 2035. "/>
    <s v="Bâtiment"/>
    <m/>
    <m/>
    <m/>
    <n v="3"/>
    <m/>
    <m/>
    <m/>
    <m/>
    <m/>
    <s v="Rénovation du résidentiel fioul"/>
    <s v="Résidentiel fioul"/>
    <s v="Obligations / incitations (i) dans les parcs locatifs et (ii) aux moments clé (mutations, travaux embarqués, etc.)_x000a_Aides à la rénovation : MaPrimeRenov' (y compris numérique), CEE, banques, financement du reste à charge (prêts, tiers financement, etc.) _x000a_Parcours usagers (guichet France Renov' +  Mon Accompagnateur Renov') _x000a_Lutte contre la fraude aux aides à la rénovation énergétique _x000a_Outils : consolidation du DPE et de l'audit énergétique _x000a_Définition et suivi des trajectoires de rénovation par opérateur du logement social (y compris obligations légales)_x000a_Plan chauffage au bois_x000a_Gouvernance, formation et label RGE, etc."/>
    <b v="0"/>
    <x v="0"/>
    <s v="Résidentiel réno fioul"/>
    <s v="Marginal"/>
    <s v="Changement de chaudière à fioul (résidentiel)"/>
    <m/>
    <x v="0"/>
    <b v="1"/>
    <n v="3"/>
    <m/>
    <m/>
    <m/>
    <n v="1"/>
    <m/>
    <x v="0"/>
    <x v="0"/>
  </r>
  <r>
    <s v="Se loger"/>
    <x v="1"/>
    <x v="1"/>
    <m/>
    <m/>
    <m/>
    <m/>
    <m/>
    <m/>
    <s v="Réduction de la part de chaudières au gaz (résidentiel)"/>
    <s v="Diminution de 17 % du parc de chaudières gaz entre 2023 et 2030 (environ 300 000 foyers par an en moyenne), et remplacement d’une majorité des chaudières à gaz d’ici 2050 par des solutions décarbonées"/>
    <s v="SNBC _x000a_Diminution de 17 % du parc de chaudières gaz entre 2023 et 2030 (environ 300 000 foyers par an en moyenne), et remplacement d’une majorité des chaudières à gaz d’ici 2050 par des solutions décarbonées._x000a_"/>
    <s v="Bâtiment"/>
    <m/>
    <m/>
    <m/>
    <n v="3"/>
    <m/>
    <m/>
    <m/>
    <m/>
    <m/>
    <s v="Rénovation du résidentiel gaz"/>
    <s v="Résidentiel gaz"/>
    <m/>
    <b v="0"/>
    <x v="0"/>
    <s v="Résidentiel réno gaz"/>
    <s v="Marginal"/>
    <s v="Changement de chaudière à gaz (résidentiel)"/>
    <m/>
    <x v="0"/>
    <b v="1"/>
    <n v="3"/>
    <m/>
    <m/>
    <m/>
    <n v="1"/>
    <m/>
    <x v="0"/>
    <x v="0"/>
  </r>
  <r>
    <s v="Se loger"/>
    <x v="1"/>
    <x v="1"/>
    <m/>
    <m/>
    <m/>
    <m/>
    <m/>
    <m/>
    <s v="Eradication des passoires thermiques"/>
    <s v="Diminution de 70 % du nombre de passoires énergétiques entre 2023 et 2030. Parc composé majoritairement de DPE A, B voire C en 2050."/>
    <s v="SNBC 3_x000a_Diminution de 70 % du nombre de passoires énergétiques entre 2023 et 2030, _x000a_les passoires énergétiques (DPE F et G) disparaissent presque intégralement du parc de logements en 2040. Les logements possédant un DPE A ou B représentent 53 % du parc en 2050. "/>
    <s v="Bâtiment"/>
    <m/>
    <m/>
    <m/>
    <n v="3"/>
    <m/>
    <m/>
    <m/>
    <m/>
    <m/>
    <s v="Passoires hors fioul et gaz"/>
    <s v="Passoires résid."/>
    <m/>
    <b v="0"/>
    <x v="0"/>
    <s v="NA"/>
    <s v="Hors GES"/>
    <s v="Sobriété et isolation des bâtiments (résidentiel)"/>
    <s v="Réorganisation"/>
    <x v="0"/>
    <b v="1"/>
    <n v="3"/>
    <n v="1"/>
    <m/>
    <m/>
    <n v="1"/>
    <m/>
    <x v="2"/>
    <x v="0"/>
  </r>
  <r>
    <s v="Se loger"/>
    <x v="1"/>
    <x v="1"/>
    <m/>
    <m/>
    <m/>
    <m/>
    <m/>
    <m/>
    <s v="Suppression des gaz fluorés du résidentiel"/>
    <s v="Réduction de 20 % des émissions de gaz fluorés (en CO2e) entre 2019 et 2030"/>
    <s v="SNBC 3 run2 AMS : -18% entre 2019 et 2030. L'hypothèse résidentiel + tertiaire est de -65%."/>
    <s v="Bâtiment"/>
    <m/>
    <m/>
    <m/>
    <n v="3"/>
    <m/>
    <m/>
    <m/>
    <m/>
    <m/>
    <s v="Gaz fluorés du résidentiel"/>
    <s v="Gaz fluo. résid."/>
    <m/>
    <b v="0"/>
    <x v="1"/>
    <s v="Gaz fluorés résidentiel"/>
    <s v="Marginal"/>
    <s v="Absent"/>
    <m/>
    <x v="1"/>
    <b v="1"/>
    <n v="3"/>
    <m/>
    <m/>
    <m/>
    <m/>
    <m/>
    <x v="1"/>
    <x v="0"/>
  </r>
  <r>
    <s v="Produire"/>
    <x v="2"/>
    <x v="8"/>
    <s v="Baisse de 32 % de la consommation d'énergie fossile entre 2020 et 2030"/>
    <s v="SNBC 3_x000a_-32% de consommation d’énergie fossile entre 2020 et 2030."/>
    <m/>
    <s v="Consommation finale d'énergie du secteur tertiaire - corrigée des variations climatiques"/>
    <s v="Consommation énergétique des bâtiments par l'Etat"/>
    <m/>
    <s v="Sobriété et efficacité énergétique dans le tertiaire"/>
    <s v="3% en 2040 et 10 % en 2050 par rapport à 2023"/>
    <s v="SNBC 3 - hypothèses AMS - Evolution des consommations d'énergie totales du secteur tertiaire (TWh Ef/an)"/>
    <s v="Bâtiment"/>
    <m/>
    <m/>
    <m/>
    <n v="3"/>
    <m/>
    <m/>
    <m/>
    <m/>
    <m/>
    <s v="Efficacité énergétique tertiaire"/>
    <s v="Efficacité tertiaire"/>
    <s v="Actualisation et suivi de la règlementation (décret tertiaire notamment) du domaine privé _x000a_Accompagnement des propriétaires    "/>
    <b v="1"/>
    <x v="0"/>
    <s v="Sobriété tertiaire"/>
    <s v="Marginal"/>
    <s v="Sobriété et isolation des bâtiments (tertiaire)"/>
    <m/>
    <x v="0"/>
    <b v="1"/>
    <n v="3"/>
    <n v="1"/>
    <m/>
    <m/>
    <m/>
    <m/>
    <x v="0"/>
    <x v="0"/>
  </r>
  <r>
    <s v="Produire"/>
    <x v="1"/>
    <x v="1"/>
    <m/>
    <m/>
    <m/>
    <m/>
    <m/>
    <m/>
    <s v="Sortie des chaudières au fioul (tertiaire)"/>
    <s v="Diminution de 85 % des surfaces chauffées au fioul entre 2020 et 2030. Environ 1 % des surfaces continuent d’être chauffées au fioul ou de l’utiliser pour des usages hors chauffage"/>
    <s v="SNBC 3_x000a_en 2030, l’usage du fioul dans les surfaces tertiaires devient très marginal. Environ 1 % des surfaces continuent d’être chauffées au fioul ou de l’utiliser pour des usages hors chauffage"/>
    <s v="Bâtiment"/>
    <m/>
    <m/>
    <m/>
    <n v="3"/>
    <m/>
    <m/>
    <m/>
    <m/>
    <m/>
    <s v="Rénovation du tertiaire fioul"/>
    <s v="Tertiaire fioul"/>
    <s v="Sortie des chaudières fioul et réduction du gaz pour le tertiaire "/>
    <b v="1"/>
    <x v="0"/>
    <s v="Tertiaire réno fioul"/>
    <s v="Marginal"/>
    <s v="Changement de chaudière à fioul (tertiaire)"/>
    <m/>
    <x v="0"/>
    <b v="1"/>
    <n v="3"/>
    <m/>
    <m/>
    <m/>
    <n v="1"/>
    <m/>
    <x v="0"/>
    <x v="0"/>
  </r>
  <r>
    <s v="Produire"/>
    <x v="1"/>
    <x v="1"/>
    <m/>
    <m/>
    <m/>
    <m/>
    <m/>
    <m/>
    <s v="Sortie progressive des chaudières au gaz (tertiaire)"/>
    <s v="Diminution de 17 % des surfaces chauffées au gaz entre 2020 et 2030 et de 85 % entre 2020 et 2050. (46 % du parc chauffé au gaz en 202, 38 % en 2030, 7 % en 2050)"/>
    <s v="SNBC 3_x000a_remplacement par un système de chauffage décarboné de 17 % des surfaces chauffées au gaz d’ici 2030, conduisant à environ 38 % du parc chauffé au gaz en 2030 versus 46 % en 2020. Les surfaces chauffées au gaz baissent de 85 % entre 2020 et 2050 et ne représentent plus que 7 % du parc en 2050.050. "/>
    <s v="Bâtiment"/>
    <m/>
    <m/>
    <m/>
    <n v="3"/>
    <m/>
    <m/>
    <m/>
    <m/>
    <m/>
    <s v="Rénovation du tertiaire gaz"/>
    <s v="Tertiaire gaz"/>
    <s v="Sortie des chaudières fioul et réduction du gaz pour le tertiaire "/>
    <b v="1"/>
    <x v="0"/>
    <s v="Tertiaire réno gaz"/>
    <s v="Marginal"/>
    <s v="Changement de chaudière à gaz (tertiaire)"/>
    <m/>
    <x v="0"/>
    <b v="1"/>
    <n v="3"/>
    <m/>
    <m/>
    <m/>
    <n v="1"/>
    <m/>
    <x v="0"/>
    <x v="0"/>
  </r>
  <r>
    <s v="Produire"/>
    <x v="1"/>
    <x v="1"/>
    <m/>
    <m/>
    <m/>
    <m/>
    <m/>
    <m/>
    <s v="Suppression des gaz fluorés du tertiaire"/>
    <s v="Réduction des émissions de gaz fluorés (en CO2e) de 70 % entre 2019 et 2030"/>
    <s v="SNBC 3 run2 AMS : -70% entre 2019 et 2030. L'hypothèse résidentiel + tertiaire est de -65%."/>
    <s v="Bâtiment"/>
    <m/>
    <m/>
    <m/>
    <n v="3"/>
    <m/>
    <m/>
    <m/>
    <m/>
    <m/>
    <s v="Gaz fluorés du tertiaire"/>
    <s v="Gaz fluo. tertiaire"/>
    <m/>
    <b v="1"/>
    <x v="1"/>
    <s v="Gas fluorés tertiaire"/>
    <s v="Marginal"/>
    <s v="Absent"/>
    <m/>
    <x v="1"/>
    <b v="1"/>
    <n v="3"/>
    <m/>
    <m/>
    <m/>
    <m/>
    <m/>
    <x v="1"/>
    <x v="0"/>
  </r>
  <r>
    <s v="Transverse"/>
    <x v="2"/>
    <x v="9"/>
    <s v="A définir - bilan GES de la construction / rénovation y compris artificialisation ? "/>
    <s v="à préciser (SNBC 3)"/>
    <m/>
    <m/>
    <m/>
    <m/>
    <s v="Développement de l'usage de matériaux biosourcés dans la construction et rénovation"/>
    <s v="+50 % de volume de bois utilisé dans la construction et la rénovation entre 2019 et 2030"/>
    <s v="SNBC 3 run2 AMS : 27% de construction bois / mixte béton-bois / géosourcé dans le résidentiel et tertiaire en 2030 ; +50% de volume de bois pour la construction et la rénovation entre 2019 et 2030."/>
    <s v="Bâtiment"/>
    <m/>
    <m/>
    <m/>
    <n v="3"/>
    <m/>
    <m/>
    <m/>
    <m/>
    <m/>
    <s v="Matériaux biosourcés"/>
    <s v="Biomatériaux"/>
    <s v="Suivi et mise en œuvre de la RE2020 _x000a_Développement des matériaux biosourcés (offre &amp; demande)    _x000a_Développement de la construction hors site"/>
    <b v="1"/>
    <x v="0"/>
    <s v="NA"/>
    <s v="Hors GES"/>
    <s v="Absent"/>
    <s v="Empreinte"/>
    <x v="1"/>
    <b v="1"/>
    <n v="3"/>
    <m/>
    <m/>
    <m/>
    <m/>
    <m/>
    <x v="1"/>
    <x v="0"/>
  </r>
  <r>
    <s v="Transverse"/>
    <x v="1"/>
    <x v="1"/>
    <m/>
    <m/>
    <m/>
    <m/>
    <m/>
    <m/>
    <s v="Intégration du confort d’été dans la rénovation et la construction des bâtiments"/>
    <s v="Définition de l'indicateur du confort d'été en cours (pour intégration au DPE)"/>
    <s v="-"/>
    <s v="Bâtiment"/>
    <m/>
    <m/>
    <m/>
    <n v="3"/>
    <m/>
    <m/>
    <m/>
    <m/>
    <m/>
    <s v="Rafraichissement résidentiel"/>
    <s v="Résid. rafraichi. "/>
    <s v="Pour les bâtiments neufs, la RE2020 intègre depuis 2022 le confort d’été en mettant en place un seuil règlementaire à respecter. _x000a__x000a_Pour les bâtiments existants, l’enjeu est de les adapter progressivement au cours des rénovations. Des solutions peuvent également être mises en place sans recourir à une rénovation globale :_x000a_Installer des protections solaires sur les vitres extérieures,_x000a_Végétaliser les expositions est, sud et ouest,_x000a_Isoler les toitures ou les combles,_x000a_Installer des brasseurs d’air (ventilateur de plafond),_x000a_Installer un puits provençal (permettant de récupérer le froid du sol),_x000a_Choisir des revêtements clairs._x000a__x000a_En l’absence de solutions en réseau, des équipements de rafraichissement performants dans les bâtiments peuvent être envisagés, avec température de consigne à 26°C, en prenant en compte les éventuels impacts sur l’effet d’îlot de chaleur."/>
    <b v="1"/>
    <x v="0"/>
    <s v="NA"/>
    <s v="Hors GES"/>
    <s v="Intégration du confort d’été dans la rénovation et la construction des bâtiments"/>
    <s v="Marginal"/>
    <x v="0"/>
    <b v="1"/>
    <m/>
    <n v="3"/>
    <m/>
    <m/>
    <m/>
    <m/>
    <x v="1"/>
    <x v="3"/>
  </r>
  <r>
    <s v="Transverse"/>
    <x v="1"/>
    <x v="1"/>
    <m/>
    <m/>
    <m/>
    <m/>
    <m/>
    <m/>
    <s v="Intégration de matériaux recyclés dans la construction"/>
    <m/>
    <s v="Le taux d’incorporation des matières premières recyclées dans les panneaux augmente : 45 % en 2030 et 65 % en 2050, contre 40 % en 2021."/>
    <s v="Bâtiment"/>
    <m/>
    <m/>
    <m/>
    <n v="3"/>
    <m/>
    <m/>
    <m/>
    <m/>
    <m/>
    <m/>
    <m/>
    <m/>
    <m/>
    <x v="2"/>
    <m/>
    <m/>
    <m/>
    <m/>
    <x v="0"/>
    <b v="1"/>
    <n v="3"/>
    <m/>
    <m/>
    <n v="3"/>
    <m/>
    <m/>
    <x v="0"/>
    <x v="2"/>
  </r>
  <r>
    <s v="Transverse"/>
    <x v="1"/>
    <x v="1"/>
    <m/>
    <m/>
    <m/>
    <m/>
    <m/>
    <m/>
    <s v="Réduction des volumes et valorisation des déchets de la construction"/>
    <s v="A définir (quantité de DAE du secteur bâtiment)"/>
    <s v="-"/>
    <s v="Bâtiment"/>
    <m/>
    <m/>
    <m/>
    <n v="3"/>
    <m/>
    <m/>
    <m/>
    <m/>
    <m/>
    <s v="Déchets de la construction"/>
    <s v="Déchets constr."/>
    <s v="Développement REP PMCB (offre &amp; demande) "/>
    <b v="1"/>
    <x v="0"/>
    <s v="NA"/>
    <s v="Hors GES"/>
    <s v="Absent"/>
    <s v="Déclinaison sectorielle d'un levier"/>
    <x v="2"/>
    <b v="1"/>
    <m/>
    <m/>
    <m/>
    <n v="3"/>
    <m/>
    <m/>
    <x v="1"/>
    <x v="4"/>
  </r>
  <r>
    <s v="Transverse"/>
    <x v="1"/>
    <x v="1"/>
    <m/>
    <m/>
    <m/>
    <m/>
    <m/>
    <m/>
    <s v="Sobriété foncière"/>
    <s v="60 % des logements construits sur du foncier déjà artificialisé"/>
    <s v="SNBC 3 run2, Part des logements construits sur du foncier déjà artificialisé"/>
    <s v="Bâtiment"/>
    <m/>
    <m/>
    <m/>
    <n v="3"/>
    <m/>
    <m/>
    <m/>
    <m/>
    <m/>
    <s v="Sobriété foncière"/>
    <s v="ZAN"/>
    <s v="Réponse aux besoins de nouveaux logements et lutte contre l'artificialisation des sols Mobilisation du parc existant (notamment vacant)     "/>
    <b v="1"/>
    <x v="0"/>
    <s v="ZAN "/>
    <s v="Marginal"/>
    <s v="Sobriété foncière"/>
    <m/>
    <x v="0"/>
    <b v="1"/>
    <n v="3"/>
    <n v="1"/>
    <m/>
    <m/>
    <m/>
    <n v="3"/>
    <x v="2"/>
    <x v="2"/>
  </r>
  <r>
    <s v="Produire"/>
    <x v="3"/>
    <x v="10"/>
    <s v="Mix électrique décarboné à 95 % en 2030, à 100 % en 2050"/>
    <s v="SNBC3 _x000a_Mix électrique décarboné à 95 % en 2030, avec un minimum de 577 TWh de production électrique décarbonée. _x000a_Mix électrique décarboné à 100 % d’ici 2050, et environ 800 TWh de production électrique à cet horizon pour répondre à une consommation équivalente."/>
    <m/>
    <m/>
    <s v="Electricité produite totale_x000a_Part d'énergie renouvelable dans la production d'électricité"/>
    <m/>
    <s v="Développement de la production d'électricité renouvelable "/>
    <s v="217 TWh de production d'électricité renouvelable en 2030"/>
    <s v="PPE3_x000a_Objectifs 2030 en terme de puissance : _x000a_PV : 54 GW_x000a_Eolien terrestre : 33 GW_x000a_Eolien en mer : 3,6 GW_x000a_Hydroélectricité : 26,3 GW _x000a_Révision à la hausse du développement de l’électricité photovoltaïque (54 GW en 2030, contre un objectif compris entre 35 et 44 GW en 2028 dans la précédente PPE, ce qui correspond à une forte augmentation du rythme actuel de déploiement), _x000a_Accélération du rythme d’attribution des capacités d’éolien offshore pour viser 18 GW de puissance installée en 2035, en élaborant une planification par façade maritime, en attribuant d’ici fin 2026 jusqu’à 10 GW de puissance supplémentaire (en plus des procédures déjà lancées) et en poursuivant le développement de la filière de l’éolien flottant_x000a_Maintien du rythme actuel à +1,5 GW/an pour l’éolien terrestre en veillant à une répartition plus équilibrée sur le territoire et en investissant dans le repowering."/>
    <s v="Production et transformation d'énergie"/>
    <m/>
    <m/>
    <m/>
    <m/>
    <n v="3"/>
    <m/>
    <m/>
    <m/>
    <m/>
    <s v="Electricité renouvelable"/>
    <s v="ENR"/>
    <s v="•Production photovoltaïque : Multiplier par 10 la puissance solaire d'ici 2050(1) - agrivoltaïsme_x000a_•Eolien terrestre_x000a_•Eolien maritime : Installer 50 parcs éoliens en mer d'ici 2050 (de façon à atteindre 45 GW)(1)_x000a_•Hydroélectricité_x000a_•Parc thermique "/>
    <b v="0"/>
    <x v="0"/>
    <s v="Electricité bas carbone"/>
    <s v="Regroupements / scissions"/>
    <s v="Electricité renouvelable"/>
    <s v="Réorganisation"/>
    <x v="0"/>
    <b v="1"/>
    <n v="3"/>
    <m/>
    <m/>
    <m/>
    <m/>
    <m/>
    <x v="1"/>
    <x v="0"/>
  </r>
  <r>
    <s v="Produire"/>
    <x v="1"/>
    <x v="1"/>
    <m/>
    <m/>
    <m/>
    <m/>
    <m/>
    <m/>
    <s v="Restauration des capacités de production nucléaire"/>
    <s v="360 TWh de production d'électricité nucléaire en 2030"/>
    <s v="PPE3 : 360 TWh retenus dans les modèles (ambition d'EDF 400 TWh)"/>
    <s v="Production et transformation d'énergie"/>
    <m/>
    <m/>
    <m/>
    <m/>
    <n v="3"/>
    <m/>
    <m/>
    <m/>
    <m/>
    <s v="Production nucléaire"/>
    <s v="Nucléaire"/>
    <m/>
    <b v="0"/>
    <x v="0"/>
    <s v="Electricité bas carbone"/>
    <s v="Regroupements / scissions"/>
    <s v="Electricité renouvelable"/>
    <s v="Réorganisation"/>
    <x v="0"/>
    <b v="1"/>
    <n v="3"/>
    <m/>
    <m/>
    <m/>
    <m/>
    <m/>
    <x v="1"/>
    <x v="0"/>
  </r>
  <r>
    <s v="Transverse"/>
    <x v="3"/>
    <x v="11"/>
    <s v="Au moins 40 TWh de chaleur décarbonée livrée en 2030"/>
    <s v="PPE 3"/>
    <m/>
    <m/>
    <m/>
    <m/>
    <s v="Développement des réseaux de chaleur urbains"/>
    <s v="5,8 millions de logements raccordés aux réseaux de chaleur urbains en 2035 (325 000 raccordements par an en moyenne entre 2023 et 2030). La nombre triple entre 2023 et 2050."/>
    <s v="SNBC 3_x000a_Raccordement à un réseau de chaleur de 360 000 logements en moyenne par an d’ici 2035 permet d’atteindre 5,8 millions de logements raccordés en 2035 et 6,7 millions en 2050"/>
    <s v="Production et transformation d'énergie"/>
    <m/>
    <m/>
    <m/>
    <m/>
    <n v="3"/>
    <m/>
    <m/>
    <m/>
    <m/>
    <s v="Réseaux de chaleur décarbonés "/>
    <s v="Rés. de chaleur"/>
    <s v="•Développement des réseaux de chaleur et froid_x000a_•Mise en œuvre du plan géothermie_x000a_•Montée en puissance du fond chaleur"/>
    <b v="0"/>
    <x v="0"/>
    <s v="Réseaux de chaleur"/>
    <s v="Marginal"/>
    <s v="Réseaux de chaleur "/>
    <s v="Réorganisation"/>
    <x v="0"/>
    <b v="1"/>
    <n v="3"/>
    <m/>
    <m/>
    <m/>
    <m/>
    <m/>
    <x v="1"/>
    <x v="0"/>
  </r>
  <r>
    <s v="Transverse"/>
    <x v="1"/>
    <x v="1"/>
    <m/>
    <m/>
    <m/>
    <m/>
    <m/>
    <m/>
    <s v="Décarbonation de la production de chaleur"/>
    <s v="75 % de la chaleur livrée est décarbonée en 2030, 80 % en 2035 et 100 % en 2050"/>
    <s v="PPE 3_x000a_75 % de la chaleur livrée est décarbonée en 2030, 80 en 2035_x000a__x000a_SNBC3 :_x000a_En 2050, 100 % de la chaleur produite provient de sources de chaleur décarbonées."/>
    <s v="Production et transformation d'énergie"/>
    <m/>
    <m/>
    <m/>
    <m/>
    <n v="3"/>
    <m/>
    <m/>
    <m/>
    <m/>
    <m/>
    <m/>
    <m/>
    <b v="0"/>
    <x v="0"/>
    <m/>
    <m/>
    <s v="Réseaux de chaleur "/>
    <s v="Réorganisation"/>
    <x v="0"/>
    <b v="1"/>
    <n v="3"/>
    <m/>
    <m/>
    <m/>
    <m/>
    <m/>
    <x v="1"/>
    <x v="0"/>
  </r>
  <r>
    <s v="Transverse"/>
    <x v="1"/>
    <x v="1"/>
    <m/>
    <m/>
    <m/>
    <m/>
    <m/>
    <m/>
    <s v="Développement des réseaux de froid"/>
    <s v="Déploiement du froid livré par les réseaux, avec 2 TWh en 2030 (contre une production de 0,99 TWh en 2022)."/>
    <s v="PPE 3"/>
    <s v="Production et transformation d'énergie"/>
    <m/>
    <m/>
    <m/>
    <m/>
    <n v="3"/>
    <m/>
    <m/>
    <m/>
    <m/>
    <s v="Réseaux de froid"/>
    <s v="Rés. de froid"/>
    <s v="Les réseaux de froid permettent une gestion globale répondant aux attentes des gestionnaires de bâtiments, utilisateurs, riverains, collectivité, et sont à encourager dans les zones denses en :_x000a_Structurant le projet de territoire (foncier, financement, porteurs),_x000a_Assurant le raccordement d’un maximum de bâtiments éligibles dans la zone,_x000a_Etudiant la possibilité de coupler production de chaud et de froid"/>
    <b v="0"/>
    <x v="0"/>
    <s v="NA"/>
    <s v="Hors GES"/>
    <s v="Satisfaction durable du besoin de rafraîchissement"/>
    <s v="Réorganisation"/>
    <x v="0"/>
    <b v="1"/>
    <m/>
    <n v="3"/>
    <m/>
    <m/>
    <m/>
    <m/>
    <x v="1"/>
    <x v="3"/>
  </r>
  <r>
    <s v="Transverse"/>
    <x v="1"/>
    <x v="1"/>
    <m/>
    <m/>
    <m/>
    <m/>
    <m/>
    <m/>
    <s v="Développement des puits technologiques"/>
    <s v="Entre 8,5 et 16 Mt CO2e de capacités de captage de CO2 (principalement biogénique, via la production de chaleur à partir de biomasse) en 2050 dans l’énergie"/>
    <s v="SNBC 3_x000a_Entre 8,5 et 16 Mt CO2e de capacités de captage de CO2 (principalement biogénique, via la production de chaleur à partir de biomasse) en 2050 dans l’énergie, en cohérence avec l’état des lieux et les perspectives pour le déploiement du CCUS en France, publié en juillet 2024"/>
    <s v="Production et transformation d'énergie"/>
    <m/>
    <m/>
    <m/>
    <m/>
    <n v="3"/>
    <m/>
    <m/>
    <m/>
    <m/>
    <m/>
    <m/>
    <m/>
    <b v="0"/>
    <x v="1"/>
    <s v="Absent"/>
    <s v="Levier 2050"/>
    <m/>
    <m/>
    <x v="0"/>
    <b v="1"/>
    <n v="3"/>
    <m/>
    <m/>
    <m/>
    <m/>
    <m/>
    <x v="1"/>
    <x v="0"/>
  </r>
  <r>
    <s v="Produire"/>
    <x v="3"/>
    <x v="12"/>
    <s v="220 TWh produits par mobilisation de la biomasse nationale"/>
    <s v="PPE 3"/>
    <m/>
    <m/>
    <m/>
    <m/>
    <s v="Développement de la production de biogaz et orientation vers les usages prioritaires"/>
    <s v="50 TWh de biogaz produit en 2030 (15% de biogaz dans la consommation nationale) et 100 TWh en 2050"/>
    <s v="PPE3 &quot;Développement du biométhane, avec environ 50 TWh de biogaz dont 44 TWh injecté à l’horizon 2030, correspondant à une capacité d’injection multipliée par plus de 4 par rapport à aujourd’hui (contre un objectif compris entre 24 et 32 TWh, dont entre 14 et 22 TWh injecté, en 2028 dans la précédente PPE) prenant en compte les limites de production et de mobilisation de notre biomasse.&quot;"/>
    <s v="Production et transformation d'énergie"/>
    <m/>
    <m/>
    <m/>
    <m/>
    <n v="3"/>
    <m/>
    <m/>
    <m/>
    <m/>
    <s v="Production et bouclage biogaz"/>
    <s v="Prod. biogaz"/>
    <s v="Développement de la production de biogaz en injection"/>
    <b v="0"/>
    <x v="0"/>
    <s v="Résidentiel biogaz_x000a_Tertiaire biogaz"/>
    <s v="Regroupements / scissions"/>
    <s v="Biogaz"/>
    <s v="Marginal"/>
    <x v="0"/>
    <b v="1"/>
    <n v="3"/>
    <m/>
    <m/>
    <m/>
    <m/>
    <m/>
    <x v="1"/>
    <x v="0"/>
  </r>
  <r>
    <s v="Produire"/>
    <x v="1"/>
    <x v="1"/>
    <m/>
    <m/>
    <m/>
    <m/>
    <m/>
    <m/>
    <s v="Développement de la production de biocarburant et orientation vers les usages prioritaires"/>
    <s v="50 TWh de biocarburants produit en 2030 et 60 TWh en 2050"/>
    <s v="PPE3_x000a_Développement accru de l’usage des biocarburants, à hauteur environ d’entre 50 et 55 TWh en 2030, soit une augmentation de 39% par rapport à 2019. &quot;La production nationale de biocarburant attendue en 2030 et 2035 sera d’environ 50 TWh. Elle_x000a_reposera partiellement comme aujourd’hui sur des importations de matières premières issues de_x000a_filières dont la durabilité est traçable et sécurisée (pour les huiles usagées notamment).&quot;_x000a_SNBC 3 :_x000a_environ +6 TWh de production de biocarburants liquides en 2030 par rapport à 2020, et environ +27 TWh à horizon 2050, pour assurer l’essor de biocarburants avancés (résidus de cultures et cultures lignocellulosiques)._x000a_poursuite des dynamiques de long terme pour atteindre environ 60 TWh de biocarburants et 100 TWh de biométhane en 2050."/>
    <s v="Production et transformation d'énergie"/>
    <m/>
    <m/>
    <m/>
    <m/>
    <n v="3"/>
    <m/>
    <m/>
    <m/>
    <m/>
    <s v="Prod. et bouclage biocarburant"/>
    <s v="Prod. biocarb."/>
    <s v="Développement de la production de biocarburants avancés (pas en concurrence avec l'alimentaire)"/>
    <b v="0"/>
    <x v="1"/>
    <s v="NA"/>
    <s v="Regroupements / scissions"/>
    <s v="Absent"/>
    <m/>
    <x v="2"/>
    <b v="1"/>
    <n v="3"/>
    <m/>
    <m/>
    <m/>
    <m/>
    <m/>
    <x v="1"/>
    <x v="0"/>
  </r>
  <r>
    <s v="Produire"/>
    <x v="1"/>
    <x v="1"/>
    <m/>
    <m/>
    <m/>
    <m/>
    <m/>
    <m/>
    <s v="Développement de la production de biomasse solide à vocation énergétique et orientation vers les usages prioritaires"/>
    <s v="120 TWh de biomasse solide produite"/>
    <s v="PPE3"/>
    <s v="Production et transformation d'énergie"/>
    <m/>
    <m/>
    <m/>
    <m/>
    <n v="3"/>
    <m/>
    <m/>
    <m/>
    <m/>
    <s v="Prod. et bouclage biomasse sol."/>
    <s v="Biomasse solide"/>
    <m/>
    <b v="0"/>
    <x v="0"/>
    <s v="NA"/>
    <s v="Hors GES"/>
    <s v="Absent"/>
    <s v="Bouclages"/>
    <x v="2"/>
    <b v="1"/>
    <n v="3"/>
    <m/>
    <m/>
    <m/>
    <m/>
    <m/>
    <x v="1"/>
    <x v="0"/>
  </r>
  <r>
    <s v="Produire"/>
    <x v="4"/>
    <x v="13"/>
    <s v="Reprendre les objectifs des leviers"/>
    <s v="à définir"/>
    <m/>
    <m/>
    <m/>
    <m/>
    <s v="Sobriété matière"/>
    <s v="A définir (SNBC 3)"/>
    <s v="SNBC 3_x000a_*produits moins consommateurs d’énergie et de ressources naturelles, en particulier fossiles. Il s’agit par exemple en matière d’emballages, de tendre vers une sortie des plastiques à usage unique._x000a_"/>
    <s v="Industrie"/>
    <m/>
    <m/>
    <n v="3"/>
    <m/>
    <m/>
    <m/>
    <m/>
    <m/>
    <m/>
    <s v="Sobriété industrielle"/>
    <s v="Sobriété indus."/>
    <m/>
    <b v="0"/>
    <x v="1"/>
    <s v="Réduction conso et sobriété"/>
    <s v="Marginal"/>
    <s v="Absent"/>
    <m/>
    <x v="1"/>
    <b v="1"/>
    <n v="3"/>
    <m/>
    <m/>
    <n v="3"/>
    <m/>
    <m/>
    <x v="0"/>
    <x v="2"/>
  </r>
  <r>
    <s v="Produire"/>
    <x v="1"/>
    <x v="1"/>
    <m/>
    <m/>
    <m/>
    <m/>
    <m/>
    <m/>
    <s v="Incorporation de matières recyclées"/>
    <s v="Objectif synthétique ?"/>
    <s v="SNBC 3_x000a_*les taux d'incorporation de matières premières recyclées dans les secteurs de l’acier, de l’aluminium, de la pétrochimie, du verre et du papier augmentent en moyenne de 13 points de pourcentage par branche en 2030 et de 19 points en 2050 (par rapport à 2021). Le taux de clinker par tonne de ciment produit est réduit de 5 % de 2019 à 2030 et de 9 % à horizon 2050."/>
    <s v="Industrie"/>
    <m/>
    <m/>
    <n v="3"/>
    <m/>
    <m/>
    <m/>
    <m/>
    <m/>
    <m/>
    <m/>
    <m/>
    <m/>
    <b v="0"/>
    <x v="1"/>
    <m/>
    <m/>
    <m/>
    <m/>
    <x v="0"/>
    <b v="1"/>
    <n v="3"/>
    <m/>
    <m/>
    <n v="3"/>
    <m/>
    <m/>
    <x v="0"/>
    <x v="2"/>
  </r>
  <r>
    <s v="Produire"/>
    <x v="1"/>
    <x v="1"/>
    <m/>
    <m/>
    <m/>
    <m/>
    <m/>
    <m/>
    <s v="Amélioration de l'efficacité énergétique industrielle (dont récupération de chaleur)"/>
    <s v="10 % de gain d'efficacité entre 2021 et 2030"/>
    <s v="SNBC 3 _x000a_en moyenne 8 % de gain en 2030 par rapport à 2023, et 18 % en 2050"/>
    <s v="Industrie"/>
    <m/>
    <m/>
    <n v="3"/>
    <m/>
    <m/>
    <m/>
    <m/>
    <m/>
    <m/>
    <s v="Efficacité énergétique industrielle"/>
    <s v="Eff. indus."/>
    <m/>
    <b v="0"/>
    <x v="1"/>
    <s v="Efficacité énergétique"/>
    <s v="Marginal"/>
    <s v="Absent"/>
    <m/>
    <x v="1"/>
    <b v="1"/>
    <n v="3"/>
    <m/>
    <m/>
    <m/>
    <n v="1"/>
    <m/>
    <x v="0"/>
    <x v="0"/>
  </r>
  <r>
    <s v="Produire"/>
    <x v="4"/>
    <x v="14"/>
    <s v="25 % de produits fossiles dans le mix des consommations à usages énergétiques de l'industrie en 2030, 13 % en 2040 et 0 % en 2050 contre 47 % en 2023"/>
    <s v="SNBC3 - hypothèses AMS - Evolution des consommations d'énergie à usages énergétiques dans l'industrie (TWh)"/>
    <s v="Part de l'électricité dans le mix énergétique de l'industrie"/>
    <s v="Part de l'électricité dans le mix énergétique de l'industrie"/>
    <m/>
    <s v="SDES"/>
    <s v="Electrification des sources d'énergie"/>
    <s v="La part de l’électricité dans le mix énergétique de l’industrie augmente ainsi de 36 % en 2023 à 47 % en 2030 et 57 % en 2050."/>
    <s v="SNBC 3_x000a_La part de l’électricité dans le mix énergétique de l’industrie augmente ainsi de 36 % en 2023 à 47 % en 2030 et 57 % en 2050."/>
    <s v="Industrie"/>
    <m/>
    <m/>
    <n v="3"/>
    <m/>
    <m/>
    <m/>
    <m/>
    <m/>
    <m/>
    <s v="Electrification"/>
    <s v="Electrification"/>
    <m/>
    <b v="0"/>
    <x v="0"/>
    <s v="Electrification"/>
    <s v="Marginal"/>
    <s v="Absent"/>
    <m/>
    <x v="1"/>
    <b v="1"/>
    <n v="3"/>
    <m/>
    <m/>
    <m/>
    <m/>
    <m/>
    <x v="1"/>
    <x v="0"/>
  </r>
  <r>
    <s v="Produire"/>
    <x v="1"/>
    <x v="1"/>
    <m/>
    <m/>
    <m/>
    <m/>
    <m/>
    <m/>
    <s v="Utilisation de la biomasse et des CSR comme source d'énergie industrielle"/>
    <s v="Doubler l'utilisation énergétique de biomasse dans l'industrie entre 2021 et 2030"/>
    <s v="SNBC 3 :_x000a_20 TWh supplémentaires de biomasse solide est mobilisé à l’horizon 2030 dans le scénario de référence (par rapport à 2023)_x000a_10 TWh de CSR mobilisés dans l’industrie en 2030"/>
    <s v="Industrie"/>
    <m/>
    <m/>
    <n v="3"/>
    <m/>
    <m/>
    <m/>
    <m/>
    <m/>
    <m/>
    <s v="Biomasse / CSR"/>
    <s v="Biomasse / CSR"/>
    <m/>
    <b v="0"/>
    <x v="0"/>
    <s v="Biomasse / CSR"/>
    <s v="Marginal"/>
    <s v="Absent"/>
    <m/>
    <x v="1"/>
    <b v="1"/>
    <n v="3"/>
    <m/>
    <m/>
    <m/>
    <m/>
    <m/>
    <x v="1"/>
    <x v="0"/>
  </r>
  <r>
    <s v="Produire"/>
    <x v="4"/>
    <x v="15"/>
    <s v="Baisse de 15% des émissions non énergétiques de l'industrie entre 2021 et 2030 _x000a__x000a_ou objectif sur les 50 sites ?"/>
    <s v="à définir (SNBC 3)"/>
    <m/>
    <m/>
    <s v="Emissions de gaz à effet serre du secteur de la chimie_x000a_Emissions de gaz à effet serre du secteur de la métallurgie des métaux ferreux_x000a_Emissions de gaz à effet serre des 50 sites très émetteurs hors raffinage"/>
    <m/>
    <s v="Captage de CO2 à la sortie des procédés industriels émetteurs"/>
    <s v="Le CCUS commence à se développer à horizon 2030, avec un volume total capté dans l’industrie de 4,4 Mt CO2e. A horizon 2050, le volume capté atteint environ 21 Mt CO2e. "/>
    <s v="SNBC 3_x000a_Capter 4 à 8 Mt CO2e par an dans l’industrie à horizon 2030;_x000a_Capter entre 20 et 30 Mt CO2e par an dans l’industrie à horizon 2050, dont environ 50 % d’origine biogénique._x000a_Le CCUS commence à se développer dans le scénario central de référence à horizon 2030, avec un volume total capté dans l’industrie de 4,4 Mt CO2e. Ce volume se répartit en 3,4 Mt CO2e d’émissions fossiles captées et stockées dans des formations géologiques (CCS fossile), 0,1 Mt CO2e de carbone biogénique stocké (BECCS, soit des émissions absorbées) et environ 1 Mt CO2e de carbone biogénique valorisé pour la production de carburants synthétiques (destinés aux soutes aériennes et maritimes internationales). A horizon 2050, le volume capté atteint environ 21 Mt CO2e. Il se répartit en 10 Mt CO2e de CCS fossile, 6 Mt CO2e de BECCS et 5 Mt CO2e de BECCU"/>
    <s v="Industrie"/>
    <m/>
    <m/>
    <n v="3"/>
    <m/>
    <m/>
    <m/>
    <m/>
    <m/>
    <m/>
    <s v="CCS"/>
    <s v="CCS"/>
    <m/>
    <b v="0"/>
    <x v="0"/>
    <s v="CCS"/>
    <s v="Marginal"/>
    <s v="Absent"/>
    <m/>
    <x v="1"/>
    <b v="1"/>
    <n v="3"/>
    <m/>
    <m/>
    <m/>
    <m/>
    <m/>
    <x v="1"/>
    <x v="0"/>
  </r>
  <r>
    <s v="Produire"/>
    <x v="1"/>
    <x v="1"/>
    <m/>
    <m/>
    <m/>
    <m/>
    <m/>
    <m/>
    <s v="Réduction des volumes du raffinage"/>
    <s v="Baisse de 28% des émissions du raffinage entre 2019 et 2030 (dont une partie via levier H2)"/>
    <s v="SNBC 3 run2, Emissions de gaz à effet de serre - Raffinage du pétrole"/>
    <s v="Production et transformation d'énergie"/>
    <m/>
    <m/>
    <m/>
    <m/>
    <n v="3"/>
    <m/>
    <m/>
    <m/>
    <m/>
    <s v="Raffinage"/>
    <s v="Raffinage"/>
    <m/>
    <b v="0"/>
    <x v="0"/>
    <s v="Raffinage"/>
    <s v="Marginal"/>
    <s v="Absent"/>
    <m/>
    <x v="1"/>
    <b v="0"/>
    <n v="3"/>
    <m/>
    <m/>
    <m/>
    <m/>
    <m/>
    <x v="1"/>
    <x v="1"/>
  </r>
  <r>
    <s v="Produire"/>
    <x v="1"/>
    <x v="1"/>
    <m/>
    <m/>
    <m/>
    <m/>
    <m/>
    <m/>
    <s v="Décarbonation des procédés par l'H2 décarboné produit localement"/>
    <s v="Atteindre au moins 4,5 TWh de consommation (énergétique et non énergétique) d’H2 électrolytique dans l’industrie à horizon 2030 et environ 20 TWh à horizon 2050. _x000a_Atteindre 6Mt d'acier produit par réduction directe du minerai de fer (DRI) en 2050."/>
    <s v="SNBC 3_x000a_Atteindre au moins 4,5 TWh de consommation (énergétique et non énergétique) d’H2 électrolytique à horizon 2030 dans l’industrie, et environ 20 TWh à horizon 2050_x000a_Les consommations d’H2 électrolytique énergétiques et non énergétiques atteignent 5 TWh en 2030 et 22 TWh en 2050 (par rapport à un volume &lt; 1 TWh en 2023)._x000a_Jusqu’à 4,5 GW d’électrolyseurs installés en 2030 et jusqu’à 8 GW en 2035, comme prévu par la Stratégie nationale de l’hydrogène décarboné."/>
    <s v="Industrie"/>
    <m/>
    <m/>
    <n v="3"/>
    <m/>
    <m/>
    <m/>
    <m/>
    <m/>
    <s v="l’hydrogène décarboné produit par électrolyse de l’eau est utilisé en substitution d’intrants matières fossiles et en substitution d’énergies fossiles, lorsqu’aucune alternative n’est possible. Dans la chimie, il est progressivement utilisé en substitution de l’hydrogène produit par vaporeformage du méthane (notamment dans les secteurs de l’ammoniac et de la pétrochimie). Dans la sidérurgie, les hauts-fourneaux sont progressivement remplacés par des usines de réduction directe du minerai de fer à hydrogène ou dans un premier temps au gaz naturel couplées à des fours à arc électriques."/>
    <s v="Changements de processus"/>
    <s v="Change. process."/>
    <s v="Pilotage de la décarbonation des 50 sites les plus émetteurs, grands projets de décarbonation H2_x000a_•Actualisation Stratégie H2 : part d’importation, infrastructures, production (sécurisation des 6.5GW), part usages mobilité, financement_x000a_•Infrastructures"/>
    <b v="0"/>
    <x v="0"/>
    <s v="Changements de processus"/>
    <s v="Marginal"/>
    <s v="Absent"/>
    <m/>
    <x v="1"/>
    <b v="1"/>
    <n v="3"/>
    <m/>
    <m/>
    <m/>
    <m/>
    <m/>
    <x v="1"/>
    <x v="0"/>
  </r>
  <r>
    <s v="Produire"/>
    <x v="5"/>
    <x v="16"/>
    <s v="Baisse de 5,5 MtCO2e des fuites de gaz fluorés, protoxyde d'azote et méthane entre 2030 et 20XX"/>
    <s v="SNBC 3"/>
    <m/>
    <m/>
    <m/>
    <m/>
    <s v="Abattement des gaz fluorés et des émissions de protoxyde d’azote "/>
    <s v="Baisse de 3,9 MtCO2e des émissions de de gaz fluroés et de N2O entre 2019 et 2030"/>
    <s v="SNBC 3 _x000a_éviter 1,2 Mt CO2e à horizon 2030 et 1,8 Mt CO2e à horizon 2050, par rapport à 2023."/>
    <s v="Industrie"/>
    <m/>
    <m/>
    <n v="3"/>
    <m/>
    <m/>
    <m/>
    <m/>
    <m/>
    <s v="l’industrie poursuit ses efforts en matière d’abattement des gaz fluorés (notamment dans l’agroalimentaire) et de protoxyde d’azote (notamment dans la chimie) en adaptant ses procédés de production (par exemple, l’utilisation de fluides frigorigènes non fluorés ou en utilisant des catalyseurs pour le N2O). "/>
    <s v="Autres leviers industriels"/>
    <s v="Autres leviers industriels"/>
    <s v="Mise en œuvre des  dispositifs de soutien et financements (DECARB-IND, DECARB-IND+, CCfD, etc) "/>
    <b v="0"/>
    <x v="0"/>
    <s v="Autres leviers industriels"/>
    <s v="Marginal"/>
    <s v="Absent"/>
    <m/>
    <x v="1"/>
    <b v="1"/>
    <n v="3"/>
    <m/>
    <m/>
    <m/>
    <m/>
    <m/>
    <x v="1"/>
    <x v="0"/>
  </r>
  <r>
    <s v="Transverse"/>
    <x v="1"/>
    <x v="1"/>
    <m/>
    <m/>
    <m/>
    <m/>
    <m/>
    <m/>
    <s v="Réduction des fuites de gaz dans les réseaux urbains"/>
    <s v="Baisse de 1,6 Mt des émissions de GES"/>
    <s v="SNBC 3 run 2"/>
    <s v="Production et transformation d'énergie"/>
    <m/>
    <m/>
    <m/>
    <m/>
    <n v="3"/>
    <m/>
    <m/>
    <m/>
    <m/>
    <s v="Infrastructures hydrocarbure"/>
    <s v="Infra. hydrocarb."/>
    <s v="Réduction des fuites de gaz des réseaux"/>
    <b v="0"/>
    <x v="0"/>
    <s v="Autres énergies"/>
    <s v="Regroupements / scissions"/>
    <s v="Autres énergies"/>
    <m/>
    <x v="0"/>
    <b v="1"/>
    <n v="3"/>
    <m/>
    <m/>
    <m/>
    <m/>
    <m/>
    <x v="1"/>
    <x v="0"/>
  </r>
  <r>
    <s v="Produire"/>
    <x v="5"/>
    <x v="17"/>
    <s v="-5 % de DAE produits en 2030 par rapport à 2010_x000a__x000a_-15 % de DMA produits en 2030 par rapport à 2010"/>
    <s v="LTECV "/>
    <m/>
    <m/>
    <m/>
    <m/>
    <s v="Sortie du plastique jetable"/>
    <s v="2030 : réduction de 50 % du nombre de bouteilles plastiques à usage unique_x000a_2040 : zéro emballage plastique à usage unique"/>
    <s v="Loi AGEC"/>
    <s v="Consommation / déchets"/>
    <m/>
    <m/>
    <m/>
    <m/>
    <m/>
    <n v="3"/>
    <m/>
    <m/>
    <m/>
    <m/>
    <m/>
    <s v="•Développement de l'offre vrac et des emballages réemployables / sécurisation de l’offre et adéquation offre-demande_x000a_•Lancement d’une initiative pour réduire l’impact environnemental des 50 metteurs en marché qui émettent le plus d’emballages plastiques en France"/>
    <b v="1"/>
    <x v="0"/>
    <m/>
    <m/>
    <m/>
    <m/>
    <x v="0"/>
    <b v="1"/>
    <n v="3"/>
    <m/>
    <m/>
    <n v="3"/>
    <n v="3"/>
    <n v="3"/>
    <x v="3"/>
    <x v="2"/>
  </r>
  <r>
    <s v="Produire"/>
    <x v="1"/>
    <x v="1"/>
    <m/>
    <m/>
    <m/>
    <m/>
    <m/>
    <m/>
    <s v="Développement de la mutualisation et de l'économie de la fonctionnalité"/>
    <s v="A définir"/>
    <m/>
    <s v="Consommation / déchets"/>
    <m/>
    <m/>
    <m/>
    <m/>
    <m/>
    <n v="3"/>
    <m/>
    <m/>
    <m/>
    <m/>
    <m/>
    <m/>
    <b v="1"/>
    <x v="0"/>
    <m/>
    <m/>
    <m/>
    <m/>
    <x v="0"/>
    <b v="1"/>
    <n v="3"/>
    <m/>
    <m/>
    <n v="3"/>
    <m/>
    <m/>
    <x v="0"/>
    <x v="2"/>
  </r>
  <r>
    <s v="Produire"/>
    <x v="1"/>
    <x v="1"/>
    <m/>
    <m/>
    <m/>
    <m/>
    <m/>
    <m/>
    <s v="Augmentation de la durée de vie des équipements (lutte contre l'obsolesence, réparabilité)"/>
    <s v="A définir"/>
    <m/>
    <s v="Consommation / déchets"/>
    <m/>
    <m/>
    <m/>
    <m/>
    <m/>
    <n v="3"/>
    <m/>
    <m/>
    <m/>
    <m/>
    <m/>
    <s v="•Développement de l'éco-conception / déclinaisons règlementaires sectorielles_x000a_•Allongement de la durée de vie des produits dont indices de réparabilité et durabilité"/>
    <b v="1"/>
    <x v="1"/>
    <m/>
    <m/>
    <m/>
    <m/>
    <x v="0"/>
    <b v="1"/>
    <n v="3"/>
    <m/>
    <m/>
    <n v="3"/>
    <m/>
    <m/>
    <x v="0"/>
    <x v="2"/>
  </r>
  <r>
    <s v="Produire"/>
    <x v="1"/>
    <x v="1"/>
    <m/>
    <m/>
    <m/>
    <m/>
    <m/>
    <m/>
    <s v="Développement de la réparation"/>
    <s v="A définir"/>
    <m/>
    <s v="Consommation / déchets"/>
    <m/>
    <m/>
    <m/>
    <m/>
    <m/>
    <n v="3"/>
    <m/>
    <m/>
    <m/>
    <m/>
    <m/>
    <m/>
    <b v="1"/>
    <x v="0"/>
    <m/>
    <m/>
    <m/>
    <m/>
    <x v="0"/>
    <b v="1"/>
    <n v="3"/>
    <m/>
    <m/>
    <n v="3"/>
    <m/>
    <m/>
    <x v="0"/>
    <x v="2"/>
  </r>
  <r>
    <s v="Produire"/>
    <x v="1"/>
    <x v="1"/>
    <m/>
    <m/>
    <m/>
    <m/>
    <m/>
    <m/>
    <s v="Développement du réemploi et de la réutilisation"/>
    <s v="Augmenter le réemploi et réutilisation des déchets pour atteindre une quantité équivalente à 5 % du tonnage des déchets ménagers _x000a_en 2030"/>
    <s v="Loi AGEC - article 4"/>
    <s v="Consommation / déchets"/>
    <m/>
    <m/>
    <m/>
    <m/>
    <m/>
    <n v="3"/>
    <m/>
    <m/>
    <m/>
    <s v="Prévention de la prod. de déchets"/>
    <s v="Déchets produits"/>
    <s v="Développer les offres circulaires des acteurs économiques _x000a_•Modèle d'affaire du recyclage _x000a_"/>
    <b v="0"/>
    <x v="0"/>
    <s v="Sobriété déchets"/>
    <s v="Marginal"/>
    <s v="Prévention des déchets"/>
    <m/>
    <x v="0"/>
    <b v="1"/>
    <n v="3"/>
    <m/>
    <m/>
    <n v="3"/>
    <m/>
    <m/>
    <x v="0"/>
    <x v="2"/>
  </r>
  <r>
    <s v="Produire"/>
    <x v="6"/>
    <x v="18"/>
    <s v="Baisse des volumes incinérés en unité de valorisation énergétique (UVE) de 6 % entre 2022 et 2030 et 44 % entre 2020 et 2050."/>
    <s v="SNBC 3 _x000a_Baisse des volumes incinérés en unité de valorisation énergétique (UVE)_x0009_-6 % entre 2022 et 2030._x000a_-44 % entre 2020 et 2050."/>
    <s v="Taux de valorisation des déchets ménagers et assimilés [%]"/>
    <m/>
    <m/>
    <s v="Enquête Collecte de l'ADEME (Disponible Open Data ADEME)_x000a_Direction Economie Circulaire"/>
    <s v="Amélioration de la collecte et du tri des déchets"/>
    <s v="_x000a_100% des EPCI collectant des biodéchets"/>
    <s v="Source à préciser ou levier transverse ?"/>
    <s v="Consommation / déchets"/>
    <m/>
    <m/>
    <m/>
    <m/>
    <m/>
    <n v="3"/>
    <m/>
    <m/>
    <m/>
    <s v="Collecte et tri des déchets"/>
    <s v="Collecte déchets"/>
    <s v="Développer les filières REP_x000a_•Gouvernance et régulation des filières REP_x000a_•Mise à jour / création des filières_x000a_Combustibles solides de récupération"/>
    <b v="1"/>
    <x v="0"/>
    <s v="Réemploi, recyclage et valorisation des déchets _x000a_Moindre stockage en ISDND"/>
    <s v="Regroupements / scissions"/>
    <s v="Moindre stockage en décharge_x000a_Collecte et tri des déchets"/>
    <m/>
    <x v="0"/>
    <b v="1"/>
    <m/>
    <m/>
    <m/>
    <n v="3"/>
    <m/>
    <m/>
    <x v="1"/>
    <x v="4"/>
  </r>
  <r>
    <s v="Produire"/>
    <x v="1"/>
    <x v="1"/>
    <m/>
    <m/>
    <m/>
    <m/>
    <m/>
    <m/>
    <s v="Développement de la valorisation matière des déchets"/>
    <s v="90% des bouteilles en plastiques collectées et recyclées"/>
    <s v="SNBC 3_x000a_Le tonnage de déchets recyclés passe de 39 Mt en 2020 à 42 Mt en 2030 puis 48 Mt en 2050"/>
    <s v="Consommation / déchets"/>
    <m/>
    <m/>
    <m/>
    <m/>
    <m/>
    <n v="3"/>
    <m/>
    <m/>
    <m/>
    <s v="Valorisation matière des déchets"/>
    <s v="Recyclage"/>
    <m/>
    <b v="0"/>
    <x v="0"/>
    <s v="Réemploi, recyclage et valorisation des déchets _x000a_Moindre stockage en ISDND"/>
    <s v="Regroupements / scissions"/>
    <s v="Valorisation matière des déchets "/>
    <m/>
    <x v="0"/>
    <b v="1"/>
    <n v="1"/>
    <m/>
    <m/>
    <n v="3"/>
    <m/>
    <m/>
    <x v="0"/>
    <x v="4"/>
  </r>
  <r>
    <s v="Produire"/>
    <x v="1"/>
    <x v="1"/>
    <m/>
    <m/>
    <m/>
    <m/>
    <m/>
    <m/>
    <s v="Captage du méthane dans les installations de stockage de déchets non dangereux (ISDND)"/>
    <s v="83 % de taux de captage du biométhane dans les ISDND en 2030"/>
    <s v="SNBC 3_x000a_le taux de captage du biométhane dans les installations de stockage des déchets non-dangereux (ISDND) en exploitation passe de 66 % en 2020 à 83 % en 2030 (à noter que cela correspond à des taux de captage apparent  de 52 % et 63 % respectivement, lorsque l’on prend également en compte les émissions provenant des ISDND qui ne sont plus exploitées). "/>
    <s v="Consommation / déchets"/>
    <m/>
    <m/>
    <m/>
    <m/>
    <m/>
    <n v="3"/>
    <m/>
    <m/>
    <m/>
    <s v="Captage de méthane en ISDND"/>
    <s v="Captage ISDND"/>
    <s v="Valoriser les déchets et réduire leur impact environnemental_x000a_•Développement de la collecte et du tri _x000a_•Augmentation de la valorisation matière et énergétique_x000a_•Adaptation de la gestion des décharges_x000a_•Soutien au déploiement des autres leviers de décarbonation du secteur des déchets "/>
    <b v="0"/>
    <x v="0"/>
    <s v="Captage de méthane dans les ISDND"/>
    <s v="Marginal"/>
    <s v="Captage de méthane dans les ISDND"/>
    <m/>
    <x v="0"/>
    <b v="1"/>
    <n v="3"/>
    <m/>
    <m/>
    <m/>
    <m/>
    <m/>
    <x v="1"/>
    <x v="0"/>
  </r>
  <r>
    <s v="Produire"/>
    <x v="1"/>
    <x v="1"/>
    <m/>
    <m/>
    <m/>
    <m/>
    <m/>
    <m/>
    <s v="Développement de la valorisation énergétique des déchets"/>
    <s v="13 Mt de déchets méthanisés (hors agriculture) ou compostés en 2030, 16 Mt en 2050 (contre 10 Mt en 2020)"/>
    <s v="Le tonnage de déchets méthanisés (hors agriculture) [passe] de 1 Mt en 2020 à 3 Mt en 2030 puis 5 Mt en 2050, compostés de 9 Mt en 2020 à 10 Mt en 2030 puis 11 Mt en 2050. "/>
    <s v="Consommation / déchets"/>
    <m/>
    <m/>
    <m/>
    <m/>
    <m/>
    <n v="3"/>
    <m/>
    <m/>
    <m/>
    <m/>
    <m/>
    <m/>
    <m/>
    <x v="2"/>
    <m/>
    <m/>
    <m/>
    <m/>
    <x v="0"/>
    <b v="1"/>
    <n v="3"/>
    <m/>
    <m/>
    <n v="3"/>
    <m/>
    <m/>
    <x v="0"/>
    <x v="2"/>
  </r>
  <r>
    <s v="Produire"/>
    <x v="1"/>
    <x v="1"/>
    <m/>
    <m/>
    <m/>
    <m/>
    <m/>
    <m/>
    <s v="Développement des CSR"/>
    <s v="4 Mt traités via la filière CSR en 2030, 5Mt en 2050"/>
    <s v="SNBC 3_x000a_La production de combustibles solides de récupération atteint 4 Mt en 2030 et 5 Mt en 2050"/>
    <s v="Consommation / déchets"/>
    <m/>
    <m/>
    <m/>
    <m/>
    <m/>
    <n v="3"/>
    <m/>
    <m/>
    <m/>
    <s v="Valorisation énergétique déchets"/>
    <s v="Valo. déchets"/>
    <s v="Incinération de déchets avec récupération d'énergie"/>
    <b v="0"/>
    <x v="0"/>
    <s v="Autres énergies"/>
    <s v="Regroupements / scissions"/>
    <s v="Autres énergies"/>
    <m/>
    <x v="0"/>
    <b v="1"/>
    <n v="3"/>
    <m/>
    <m/>
    <m/>
    <m/>
    <m/>
    <x v="1"/>
    <x v="0"/>
  </r>
  <r>
    <s v="Préserver"/>
    <x v="1"/>
    <x v="1"/>
    <m/>
    <m/>
    <m/>
    <m/>
    <m/>
    <m/>
    <s v="Maîtrise des risques de relargage de plastique"/>
    <s v="100 % d’anciennes décharges municipales littorales à risque de relargage en mer réhabilitées"/>
    <s v="Stratégie nationale biodiversité 2030_x000a_Donne aussi : 100 % des communes littorales engagées dans la démarche plages sans plastiques (50 % dès 2025)"/>
    <s v="Consommation / déchets"/>
    <m/>
    <m/>
    <m/>
    <m/>
    <m/>
    <n v="3"/>
    <m/>
    <m/>
    <m/>
    <s v="Pollution plastique"/>
    <s v="Pol. plastique"/>
    <m/>
    <b v="0"/>
    <x v="0"/>
    <s v="NA"/>
    <s v="Hors GES"/>
    <s v="Absent"/>
    <s v="Biodiversité"/>
    <x v="2"/>
    <b v="1"/>
    <m/>
    <m/>
    <m/>
    <m/>
    <m/>
    <n v="3"/>
    <x v="1"/>
    <x v="5"/>
  </r>
  <r>
    <s v="Produire"/>
    <x v="7"/>
    <x v="19"/>
    <s v="Réduction de la consommation d’engrais minéraux azotés de 30 % à en 2030 et de 50% en 2050 par rapport à 2020_x000a_et_x000a_Baisse de 50% des produits phytosanitaires mesuré par l’indicateur européen HRI-1 par rapport à 2011-2013"/>
    <s v="Stratégie nationale biodiversité 2030"/>
    <m/>
    <s v="Livraison engrais azotés [kt]"/>
    <m/>
    <m/>
    <s v="Réduction de la consommation d'engrais minéraux azotés"/>
    <s v="2 Mha de légumineuses en 2030 et 2,5 Mha en 2050 contre 1 Mha en 2020"/>
    <s v="SNBC 3_x000a_Réduction de la consommation d’engrais minéraux azotés de 30 % à en 2030 et de 50 % en 2050 par rapport à 2020"/>
    <s v="Agriculture / alimentation"/>
    <m/>
    <n v="3"/>
    <m/>
    <m/>
    <m/>
    <m/>
    <m/>
    <m/>
    <m/>
    <s v="Fertilisation azotée"/>
    <s v="Apports d'azote"/>
    <s v="Développement de la production de légumineuses (objectif fixé par la loi du 24 mars 2025 d'orientation pour la souveraineté alimentaire et le renouvellement des générations en agriculture : 10 % de la surface agricole utile produisant des légumineuse en 2030 (4 % en 2021)), etc."/>
    <b v="0"/>
    <x v="0"/>
    <s v="Leviers azote"/>
    <s v="Regroupements / scissions"/>
    <s v="Changement de pratiques de fertilisation azotée"/>
    <m/>
    <x v="0"/>
    <b v="1"/>
    <n v="3"/>
    <m/>
    <n v="1"/>
    <m/>
    <n v="3"/>
    <n v="3"/>
    <x v="3"/>
    <x v="2"/>
  </r>
  <r>
    <s v="Produire"/>
    <x v="1"/>
    <x v="1"/>
    <m/>
    <m/>
    <m/>
    <m/>
    <m/>
    <m/>
    <s v="Développement des cultures intérmédiaires"/>
    <s v="développer les cultures intermédiaires , dont les engrais verts (1,8 Mha d’engrais verts en 2030 et 4,3 Mha en 2050 contre 1 Mha en 2020, cf. partie « Stockage de carbone dans les sols ») ;"/>
    <s v="SNBC 3 _x000a_-_x0009_développer les cultures intermédiaires , dont les engrais verts (1,8 Mha d’engrais verts en 2030 et 4,3 Mha en 2050 contre 1 Mha en 2020, cf. partie « Stockage de carbone dans les sols ») ;"/>
    <s v="Agriculture / alimentation"/>
    <m/>
    <n v="3"/>
    <m/>
    <m/>
    <m/>
    <m/>
    <m/>
    <m/>
    <m/>
    <m/>
    <m/>
    <m/>
    <b v="0"/>
    <x v="0"/>
    <s v="Leviers azote"/>
    <s v="Regroupements / scissions"/>
    <s v="Changement de pratiques de fertilisation azotée"/>
    <m/>
    <x v="0"/>
    <b v="1"/>
    <n v="3"/>
    <m/>
    <n v="1"/>
    <m/>
    <n v="3"/>
    <n v="3"/>
    <x v="3"/>
    <x v="2"/>
  </r>
  <r>
    <s v="Produire"/>
    <x v="1"/>
    <x v="1"/>
    <m/>
    <m/>
    <m/>
    <m/>
    <m/>
    <m/>
    <s v="Optimisation de la gestion de l'azote"/>
    <s v="à définir"/>
    <s v="SNBC 3_x000a_-_x0009_mobiliser de nouvelles ressources organiques (effluents, digestats de méthanisation  et ensemble des matières fertilisantes d’origine résiduaire (MAFOR)) ;_x000a_-_x0009_optimiser la dose d’azote (outils d’aide à la décision, adaptation des apports aux besoins des cultures, sélection de variétés à bas niveau d’intrants, pratiques et matériels d’épandage plus performants, etc.)  ;_x000a_-_x0009_limiter les fuites d’azote (gestion des effluents au bâtiment et au stockage, pratiques et matériels d’épandage plus performants et considérant les conditions topographiques et météorologiques, etc.) ;"/>
    <s v="Agriculture / alimentation"/>
    <m/>
    <n v="3"/>
    <m/>
    <m/>
    <m/>
    <m/>
    <m/>
    <m/>
    <m/>
    <m/>
    <m/>
    <m/>
    <b v="0"/>
    <x v="0"/>
    <s v="Leviers azote"/>
    <s v="Regroupements / scissions"/>
    <s v="Changement de pratiques de fertilisation azotée"/>
    <m/>
    <x v="0"/>
    <b v="1"/>
    <n v="3"/>
    <m/>
    <n v="1"/>
    <m/>
    <n v="3"/>
    <n v="3"/>
    <x v="3"/>
    <x v="2"/>
  </r>
  <r>
    <s v="Produire"/>
    <x v="1"/>
    <x v="1"/>
    <m/>
    <m/>
    <m/>
    <m/>
    <m/>
    <m/>
    <s v="Réduction de l'usage des produits phytosanitaires (pour la protection et le traitement)"/>
    <s v="Baisse de 50% des produits phytosanitaires mesuré par l’indicateur européen HRI-1 par rapport à 2011-2013"/>
    <s v="SNB 2030"/>
    <s v="Agriculture / alimentation"/>
    <m/>
    <n v="3"/>
    <m/>
    <m/>
    <m/>
    <m/>
    <m/>
    <m/>
    <m/>
    <s v="Réduction de l’usage des produits phytosanitaires "/>
    <s v="Produits phyto."/>
    <s v="PSN de la PAC, loi Egalim, etc."/>
    <b v="0"/>
    <x v="0"/>
    <s v="NA"/>
    <s v="Hors GES"/>
    <s v="Réduction de l’usage des produits phytosanitaires "/>
    <s v="Marginal"/>
    <x v="0"/>
    <b v="1"/>
    <m/>
    <m/>
    <n v="1"/>
    <m/>
    <n v="3"/>
    <n v="3"/>
    <x v="2"/>
    <x v="2"/>
  </r>
  <r>
    <s v="Produire"/>
    <x v="1"/>
    <x v="1"/>
    <m/>
    <m/>
    <m/>
    <m/>
    <m/>
    <m/>
    <s v="Développement de l'agriculture biologique"/>
    <s v="21% de la surface en agriculture biologique (10 % en 2023) en 2030, 25 % en 2050"/>
    <s v="SNBC 3 :_x000a_Développer les systèmes agroécologiques sur environ 35 % des surfaces en 2030 et 50 % en 2050, par rapport à 8 % en 2020. En particulier, développer l’agriculture biologique sur 21 % des surfaces en 2030 et 25 % en 2050, par rapport à 5,6 % en 2020._x000a_Développerployer les techniques d’agriculture de précision sur 15% de surfaces supplémentaires en 2030 et 25% en 2050, par rapport à 5% en 2020"/>
    <s v="Agriculture / alimentation"/>
    <m/>
    <n v="3"/>
    <m/>
    <m/>
    <m/>
    <m/>
    <m/>
    <m/>
    <m/>
    <s v="Agriculture biologique"/>
    <s v="Agriculture bio"/>
    <m/>
    <b v="0"/>
    <x v="0"/>
    <s v="NA"/>
    <s v="Hors GES"/>
    <s v="Agriculture biologique et de HVE"/>
    <s v="Marginal"/>
    <x v="0"/>
    <b v="1"/>
    <m/>
    <m/>
    <m/>
    <m/>
    <n v="3"/>
    <n v="3"/>
    <x v="0"/>
    <x v="2"/>
  </r>
  <r>
    <s v="Produire"/>
    <x v="7"/>
    <x v="20"/>
    <s v="Intensité carbone de l'élevage (CO2e / an / tête)"/>
    <s v="à définir (SNBC 3)"/>
    <m/>
    <m/>
    <m/>
    <m/>
    <s v="Ralentissement de la décapitalisation"/>
    <m/>
    <s v="SNBC 3_x000a_Ralentissement du rythme de décapitalisation des cheptels constaté ces dernières années. L’évolution  serait de -12 % en 2030 et -29 % en 2050 par rapport à 2020 pour les bovins (soit une baisse annuelle de l’ordre de 1 % tandis que la baisse a été en moyenne de 1,9 % par an de 2016 à 2023) ; -10 % en 2030 et -30 % en 2050 par rapport à 2020 pour les porcins ; stable pour les volailles."/>
    <s v="Agriculture / alimentation"/>
    <m/>
    <n v="3"/>
    <m/>
    <m/>
    <m/>
    <m/>
    <m/>
    <m/>
    <m/>
    <m/>
    <m/>
    <m/>
    <m/>
    <x v="2"/>
    <m/>
    <m/>
    <m/>
    <m/>
    <x v="0"/>
    <b v="0"/>
    <n v="3"/>
    <m/>
    <m/>
    <m/>
    <m/>
    <m/>
    <x v="1"/>
    <x v="1"/>
  </r>
  <r>
    <s v="Produire"/>
    <x v="1"/>
    <x v="1"/>
    <m/>
    <m/>
    <m/>
    <m/>
    <m/>
    <m/>
    <s v="Augmentation du paturage"/>
    <s v="Passage de 55% à 63% de modèle herbager sur l’ensemble du cheptel bovin"/>
    <s v="SNBC 3 _x000a_La part des élevages bovins lait en système de pâturage dominant passe de 28 % en 2020 à 45 % en 2030, puis 64 % en 2050 ; les poulets label rouge et agriculture biologique (AB) évoluent de 32 % en 2020 à 39% en 2030, puis 60 % en 2050 ; les porcs label rouge et AB évoluent de 4 % en 2020 à 7 % en 2030 et 16 % en 2050."/>
    <s v="Agriculture / alimentation"/>
    <m/>
    <n v="3"/>
    <m/>
    <m/>
    <m/>
    <m/>
    <m/>
    <m/>
    <m/>
    <s v="Elevage durable"/>
    <s v="Elevage durable"/>
    <s v="Guichet « élevage » d'aide à l'achat d'agroéquipements limitant les fuites d'azote dans l'air (couverture ouvrages de stockage et matériels d'épandage moins émissifs)_x000a_dont 50 millions pour l'ouverture d'un guichet « phyto » d'aide à l'achat de matériel concourant à la réduction de l'utilisation de produits phytopharmaceutiques"/>
    <b v="0"/>
    <x v="0"/>
    <s v="Elevage"/>
    <s v="Marginal"/>
    <s v="Elevage durable"/>
    <m/>
    <x v="1"/>
    <b v="1"/>
    <n v="3"/>
    <m/>
    <n v="1"/>
    <m/>
    <n v="3"/>
    <n v="1"/>
    <x v="3"/>
    <x v="2"/>
  </r>
  <r>
    <s v="Produire"/>
    <x v="1"/>
    <x v="1"/>
    <m/>
    <m/>
    <m/>
    <m/>
    <m/>
    <m/>
    <s v="Autonomie protéique des cheptels"/>
    <m/>
    <s v="SNBC 3 _x000a_L’autonomie protéique des cheptels est renforcée grâce à un recours accru au pâturage des bovins et à l’augmentation de production de protéagineux et légumineuses fourragères , afin de réduire de 50 % les importations de soja en 2030 et de poursuivre ces réductions à horizon 2050. "/>
    <s v="Agriculture / alimentation"/>
    <m/>
    <n v="3"/>
    <m/>
    <m/>
    <m/>
    <m/>
    <m/>
    <m/>
    <m/>
    <m/>
    <m/>
    <m/>
    <m/>
    <x v="2"/>
    <m/>
    <m/>
    <m/>
    <m/>
    <x v="0"/>
    <b v="1"/>
    <n v="3"/>
    <m/>
    <m/>
    <m/>
    <m/>
    <m/>
    <x v="1"/>
    <x v="0"/>
  </r>
  <r>
    <s v="Produire"/>
    <x v="1"/>
    <x v="1"/>
    <m/>
    <m/>
    <m/>
    <m/>
    <m/>
    <m/>
    <s v="Valorisation des effluents d'élevage"/>
    <s v="_x000a_Multiplication par 3 des effluents (lisier/fumier) méthanisés en 2030 (~3 MtMS) par rapport à 2023"/>
    <s v="SNBC 3_x000a_Maintien de la valeur fertilisante des effluents en limitant les fuites d’azote (généralisation des couvertures de fosses à lisiers, amélioration des pratiques d’épandage (voir partie « cultures »)) et méthanisation des effluents (part croissante des déjections animales mobilisables méthanisées pour atteindre 22 % en 2030 et 80 % en 2050 "/>
    <s v="Agriculture / alimentation"/>
    <m/>
    <n v="3"/>
    <m/>
    <m/>
    <m/>
    <m/>
    <m/>
    <m/>
    <m/>
    <m/>
    <m/>
    <m/>
    <b v="0"/>
    <x v="0"/>
    <s v="Absent"/>
    <m/>
    <m/>
    <m/>
    <x v="0"/>
    <b v="1"/>
    <n v="3"/>
    <m/>
    <m/>
    <m/>
    <n v="3"/>
    <m/>
    <x v="0"/>
    <x v="2"/>
  </r>
  <r>
    <s v="Produire"/>
    <x v="1"/>
    <x v="1"/>
    <m/>
    <m/>
    <m/>
    <m/>
    <m/>
    <m/>
    <s v="Réduction complémentaire des émissions liées à la fermentation entérique"/>
    <s v="Diminuer les émissions par tête de la fermentation entérique"/>
    <s v="SNBC 3 _x000a_25 % des bovins bénéficient d’ajustements de leurs rations en 2030 lors des périodes en bâtiment (contre une proportion proche de 0 % en 2020), afin de limiter la fermentation entérique (-14 % d’émissions pour l’ajout de 3,5 % de lipides dans la ration, par exemple avec des apports de graines de lin ). En 2050, environ 80 % du cheptel est concerné par l’ajout d’additifs dans les rations lors des périodes en bâtiment, permettant une réduction globale annuelle additionnelle de 5 % de la fermentation entérique par tête._x000a_-_x0009_Orienter la sélection génétique pour réduire les émissions de méthane, de manière à réduire de 5% supplémentaires les émissions de la fermentation entérique par tête en 2050."/>
    <s v="Agriculture / alimentation"/>
    <m/>
    <n v="3"/>
    <m/>
    <m/>
    <m/>
    <m/>
    <m/>
    <m/>
    <m/>
    <m/>
    <m/>
    <m/>
    <m/>
    <x v="2"/>
    <m/>
    <m/>
    <m/>
    <m/>
    <x v="0"/>
    <b v="1"/>
    <n v="3"/>
    <m/>
    <m/>
    <m/>
    <m/>
    <m/>
    <x v="1"/>
    <x v="0"/>
  </r>
  <r>
    <s v="Produire"/>
    <x v="1"/>
    <x v="1"/>
    <m/>
    <m/>
    <m/>
    <m/>
    <m/>
    <m/>
    <s v="Optimisation de la gestion des troupeaux"/>
    <m/>
    <s v="SNBC 3 _x000a_Adaptation de la conduite du troupeau , ce qui permet de gagner en productivité et donc de réduire les émissions par tête de 5 %."/>
    <s v="Agriculture / alimentation"/>
    <m/>
    <n v="3"/>
    <m/>
    <m/>
    <m/>
    <m/>
    <m/>
    <m/>
    <m/>
    <m/>
    <m/>
    <s v="Adaptation des itinéraires techniques (décalage de la date de semis, choix de variétés…) et de la conduite des cheptels_x000a_Evolution des structures et mode d’élevage (par ex. prairies/bâtiments adaptés) "/>
    <b v="0"/>
    <x v="1"/>
    <s v="Absent"/>
    <m/>
    <m/>
    <m/>
    <x v="0"/>
    <b v="1"/>
    <n v="3"/>
    <m/>
    <m/>
    <m/>
    <n v="1"/>
    <m/>
    <x v="0"/>
    <x v="0"/>
  </r>
  <r>
    <s v="Produire"/>
    <x v="7"/>
    <x v="21"/>
    <s v="Réduction de la consommation d'énergies fossiles à 33 TWh en 2030, 15 TWh en 2040 et 0 en 2050 (contre 41 TWh en 2023)"/>
    <s v="SNBC 3_x000a_Réduire la consommation énergétique fossile (produits pétroliers et gaz naturel) de 8TWh de 2023 à 2030. Supprimer toute consommation énergétique fossile (-33 TWh par rapport à 2030) à horizon 2050_x000a__x000a_Hypothèses AMS - Energie (pour 2040)"/>
    <m/>
    <m/>
    <m/>
    <m/>
    <s v="Décarbonation des sources d'énergie "/>
    <s v="Augmentation de la part d’engins agricoles fonctionnant avec des énergies non-fossiles (HVO100, électricité, H2, BioGNV) d’environ 0 % à 10 % du parc entre 2020 et 2030, avant d’atteindre progressivement 100 % en 2050. "/>
    <s v="SNBC 3_x000a_Décarbonation des engins agricoles : la part d’engins agricoles fonctionnant avec des énergies non-fossiles (HVO100, électricité, H2, BioGNV) passe d’environ 0 % à 10 % du parc entre 2020 et 2030, avant d’atteindre progressivement 100 % en 2050. _x000a_"/>
    <s v="Agriculture / alimentation"/>
    <m/>
    <n v="3"/>
    <m/>
    <m/>
    <m/>
    <m/>
    <m/>
    <m/>
    <m/>
    <s v="Bâtiments et machines agricoles"/>
    <s v="Conso. énerg."/>
    <m/>
    <b v="0"/>
    <x v="0"/>
    <s v="Bâtiments &amp; Machines agricoles"/>
    <s v="Marginal"/>
    <s v="Bâtiments &amp; Machines agricoles"/>
    <m/>
    <x v="0"/>
    <b v="1"/>
    <n v="3"/>
    <m/>
    <m/>
    <m/>
    <m/>
    <m/>
    <x v="1"/>
    <x v="0"/>
  </r>
  <r>
    <s v="Produire"/>
    <x v="1"/>
    <x v="1"/>
    <m/>
    <m/>
    <m/>
    <m/>
    <m/>
    <m/>
    <s v="Efficacité énergétique des bâtiments et machines agricoles"/>
    <s v="Baisse de la consommation d'énergie de 54 TWh en 2023 à 50 TWh en 2030, 40 TWh en 2040 et 31 TWh en 2050"/>
    <s v="SNBC 3 - Hypothèses AMS - Consommation d'énergie"/>
    <s v="Agriculture / alimentation"/>
    <m/>
    <n v="3"/>
    <m/>
    <m/>
    <m/>
    <m/>
    <m/>
    <m/>
    <s v="Efficacité énergétique des équipements, des serres et des bâtiments : renforcement de l’efficacité énergétique des installations, et déploiement de systèmes de chauffage alternatifs (pompes à chaleur, géothermie, chaleur fatale, biomasse, etc.)."/>
    <m/>
    <m/>
    <m/>
    <m/>
    <x v="2"/>
    <m/>
    <m/>
    <m/>
    <m/>
    <x v="0"/>
    <b v="1"/>
    <n v="3"/>
    <m/>
    <m/>
    <m/>
    <m/>
    <m/>
    <x v="1"/>
    <x v="0"/>
  </r>
  <r>
    <s v="Produire"/>
    <x v="7"/>
    <x v="22"/>
    <s v="2,1 Mt de CO2 supplémentaires stockés annuellement sur les terres agricoles"/>
    <s v="à définir (SNBC 3)"/>
    <s v="Emissions des terres cultivées"/>
    <s v="Emissions des terres cultivées (Millions de tonnes équivalent CO2 par an)"/>
    <m/>
    <s v="CITEPA"/>
    <s v="Développement des pratiques stockantes (cultures intermédiaires, agriculture de conservation des sols)"/>
    <s v="Hausse de 60 % de la surface de cultures intermédiaires par rapport à 2020_x000a_la part des cultures intermédiaires à vocation énergétique (CIVE) au sein des cultures intermédiaires progresse, d’environ 4 % en 2020 à 19 % en 2030, avant d’atteindre 30 % en 2050. "/>
    <s v="SNBC 3_x000a_Développement des cultures intermédiaires à vocation énergétique, pièges à nitrates et engrais verts (4,8 Mha en 2030 et 8,7 Mha en 2050 contre environ 2,9 Mha en 2020) ;_x000a_la part des cultures intermédiaires à vocation énergétique (CIVE) au sein des cultures intermédiaires progresse, d’environ 4 % en 2020 à 19 % en 2030, avant d’atteindre 30 % en 2050. _x000a_La production de biométhane issue des CIVE atteint 17 TWh PCS en 2030 et environ 49 TWh PCS en 2050. "/>
    <s v="Agriculture / alimentation"/>
    <m/>
    <n v="3"/>
    <m/>
    <m/>
    <m/>
    <m/>
    <m/>
    <m/>
    <m/>
    <s v="Pratiques stockantes"/>
    <s v="Pratiques stock."/>
    <s v="Éviter les sols agricoles nus l'hiver,_x000a_Développer l'agroforesterie au sein des parcelles agricoles,_x000a_Promouvoir les pratiques agroécologiques et notamment en évitant la battance agricole et le tassement des sols"/>
    <b v="0"/>
    <x v="0"/>
    <s v="CIVE et CIPAN"/>
    <s v="Marginal"/>
    <s v="Pratiques stockantes"/>
    <m/>
    <x v="0"/>
    <b v="1"/>
    <n v="3"/>
    <m/>
    <m/>
    <m/>
    <m/>
    <m/>
    <x v="1"/>
    <x v="0"/>
  </r>
  <r>
    <s v="Produire"/>
    <x v="1"/>
    <x v="1"/>
    <m/>
    <m/>
    <m/>
    <m/>
    <m/>
    <m/>
    <s v="Maintien des prairies permanentes productives"/>
    <s v="Maintenir les prairies permanentes productives à hauteur d'environ 7150 kha de 2020 à 2050"/>
    <s v="SNBC 3 run2 :_x000a_Passage de 9,6 Mha (2020) de prairies permanentes à 9,3 Mha en 2030 et 8,6 Mha en 2050, contre 50 kha retournés annuellement actuellement"/>
    <s v="Agriculture / alimentation"/>
    <m/>
    <n v="3"/>
    <m/>
    <m/>
    <m/>
    <m/>
    <m/>
    <m/>
    <m/>
    <s v="Moindre retournement prairies"/>
    <s v="Prairies"/>
    <m/>
    <b v="0"/>
    <x v="0"/>
    <s v="Prairies"/>
    <s v="Marginal"/>
    <s v="Gestion des prairies"/>
    <m/>
    <x v="0"/>
    <b v="1"/>
    <n v="3"/>
    <m/>
    <m/>
    <m/>
    <m/>
    <n v="3"/>
    <x v="0"/>
    <x v="2"/>
  </r>
  <r>
    <s v="Produire"/>
    <x v="1"/>
    <x v="1"/>
    <m/>
    <m/>
    <m/>
    <m/>
    <m/>
    <m/>
    <s v="Développement de l'agroforesterie intraparcellaire"/>
    <s v="Atteindre 100 kha en 2030 et 300 kha en 2050, également répartis entre prairies et terres arables"/>
    <s v="SNBC 3_x000a_développer l’agroforesterie intraparcellaire, en augmentant significativement les surfaces d’ici 2030 pour atteindre 100 kha en 2030 et 300 kha en 2050"/>
    <s v="Agriculture / alimentation"/>
    <m/>
    <n v="3"/>
    <m/>
    <m/>
    <m/>
    <m/>
    <m/>
    <m/>
    <m/>
    <m/>
    <m/>
    <m/>
    <b v="0"/>
    <x v="0"/>
    <s v="Haies et agroforesterie"/>
    <s v="Regroupements / scissions"/>
    <s v="Absent"/>
    <m/>
    <x v="0"/>
    <b v="1"/>
    <n v="3"/>
    <n v="3"/>
    <n v="3"/>
    <m/>
    <m/>
    <n v="3"/>
    <x v="3"/>
    <x v="2"/>
  </r>
  <r>
    <s v="Produire"/>
    <x v="1"/>
    <x v="1"/>
    <m/>
    <m/>
    <m/>
    <m/>
    <m/>
    <m/>
    <s v="Développement des haies"/>
    <s v="+50 000 kml nets de haies plantées entre 2020 et 2030 (soit 800 000 km de haies) avant de poursuivre le rythme pour atteindre +100 000 kml nets de haies plantées entre 2030 et 2050"/>
    <s v="SNBC 3_x000a_+50 000 kml nets de haies plantées entre 2020 et 2030, avant de poursuivre le rythme pour atteindre +100 000 kml nets de haies plantées entre 2030 et 2050 ;"/>
    <s v="Agriculture / alimentation"/>
    <m/>
    <n v="3"/>
    <m/>
    <m/>
    <m/>
    <m/>
    <m/>
    <m/>
    <m/>
    <m/>
    <m/>
    <s v="Planter des haies et des bandes enherbées, ou créer des fossés d’infiltration, notamment sur les espaces agricoles en pente"/>
    <b v="0"/>
    <x v="0"/>
    <s v="Haies et agroforesterie"/>
    <s v="Regroupements / scissions"/>
    <s v="Gestion des haies_x000a_Ralentissement du ruissellement sur les sols agricoles et artificialisés -&gt; séparé entre agriculture, ZAN et renaturation"/>
    <m/>
    <x v="0"/>
    <b v="1"/>
    <n v="3"/>
    <n v="3"/>
    <n v="3"/>
    <m/>
    <m/>
    <n v="3"/>
    <x v="3"/>
    <x v="2"/>
  </r>
  <r>
    <s v="Produire"/>
    <x v="7"/>
    <x v="23"/>
    <s v="A définir"/>
    <s v="à définir"/>
    <m/>
    <m/>
    <m/>
    <m/>
    <s v="Gestion des écoulements dans les sols"/>
    <s v="A définir"/>
    <m/>
    <s v="Agriculture / alimentation"/>
    <m/>
    <n v="3"/>
    <m/>
    <m/>
    <m/>
    <m/>
    <m/>
    <m/>
    <m/>
    <m/>
    <m/>
    <s v="Fossés d'infiltration_x000a_Adaptation de la taille et forme des parcelles, en favorisant la disposition en mosaïque et limitant les grandes longueurs dans le sens de la pente pour éviter le ruissellement_x000a_Mobilisation de solutions fondées sur la nature pour protéger les sols (érosion, sécheresse, tassement, inondation…)"/>
    <b v="0"/>
    <x v="0"/>
    <s v="NA"/>
    <s v="Hors GES"/>
    <s v="Sobriété dans l’utilisation de la ressource en eau"/>
    <s v="Déclinaison sectorielle d'un levier"/>
    <x v="0"/>
    <b v="0"/>
    <m/>
    <n v="1"/>
    <n v="3"/>
    <m/>
    <m/>
    <m/>
    <x v="0"/>
    <x v="1"/>
  </r>
  <r>
    <s v="Produire"/>
    <x v="1"/>
    <x v="1"/>
    <m/>
    <m/>
    <m/>
    <m/>
    <m/>
    <m/>
    <s v="Adaptation des filières agricoles"/>
    <s v="A définir"/>
    <s v="-"/>
    <s v="Agriculture / alimentation"/>
    <m/>
    <n v="3"/>
    <m/>
    <m/>
    <m/>
    <m/>
    <m/>
    <m/>
    <m/>
    <s v="Adaptation des exploitations"/>
    <s v="Adapt. exploit."/>
    <s v="Diversification des cultures, des espèces et des variétés,_x000a_Evolution des bassins de production (et adaptation des AOC par exemple), _x000a_Développement des connaissances sur les cultures et espèces adaptées aux évolutions des conditions climatiques locales, _x000a_Développement et diffusion des pratiques agroécologiques par filières, _x000a_Projets collectifs de gestion et de répartition des ressources en eau,"/>
    <b v="0"/>
    <x v="0"/>
    <s v="NA"/>
    <s v="Hors GES"/>
    <s v="Adaptation des filières et des exploitations agricoles"/>
    <s v="Marginal"/>
    <x v="0"/>
    <b v="1"/>
    <m/>
    <n v="3"/>
    <m/>
    <m/>
    <m/>
    <m/>
    <x v="1"/>
    <x v="3"/>
  </r>
  <r>
    <s v="Produire"/>
    <x v="1"/>
    <x v="1"/>
    <m/>
    <m/>
    <m/>
    <m/>
    <m/>
    <m/>
    <s v="Développement de la pêche durable"/>
    <s v="A définir_x000a_% des stocks débarqués en bon état ?"/>
    <s v="-"/>
    <s v="Agriculture / alimentation"/>
    <m/>
    <n v="3"/>
    <m/>
    <m/>
    <m/>
    <m/>
    <m/>
    <m/>
    <m/>
    <s v="Dév. de la pêche durable"/>
    <s v="Pêche durable"/>
    <s v="Mieux gérer les stocks sous quotas en appliquant la politique commune des pêches_x000a_Améliorer la sélectivité des engins de pêche et limiter ainsi l’impact sur les ressources marines qui ne sont pas ciblées par la pêche_x000a_Accompagner les acteurs sur l’écolabel public « pêche durable » pour mieux informer les consommateurs_x000a_Soutien des filières à bas niveau trophique (algues, mollusques, herbivores), réduisant la pression sur les espèces sauvages"/>
    <b v="0"/>
    <x v="0"/>
    <s v="NA"/>
    <s v="Hors GES"/>
    <s v="Accompagnement des filières de la pêche et de l’aquaculture -&gt; séparation pêche et aquaculture"/>
    <s v="Réorganisation"/>
    <x v="0"/>
    <b v="1"/>
    <m/>
    <m/>
    <m/>
    <m/>
    <m/>
    <n v="3"/>
    <x v="1"/>
    <x v="5"/>
  </r>
  <r>
    <s v="Produire"/>
    <x v="1"/>
    <x v="1"/>
    <m/>
    <m/>
    <m/>
    <m/>
    <m/>
    <m/>
    <s v="Développement de l'aquaculture durable"/>
    <s v="A définir"/>
    <s v="-"/>
    <s v="Agriculture / alimentation"/>
    <m/>
    <n v="3"/>
    <m/>
    <m/>
    <m/>
    <m/>
    <m/>
    <m/>
    <m/>
    <s v="Dév. de l'aquaculture durable"/>
    <s v="Aquaculture"/>
    <s v="Diversification des espèces aquacoles pour limiter la diffusion de maladies_x000a_Soutien des modèles de co-cultures et systèmes mixtes d’aquaculture et d’agriculture (ex: riziculture et élevage de poissons), ou d’aquaculture multitrophique intégrée2_x000a_Planification spatiale adaptée des sites aquacoles pour en réduire les impacts sur les écosystèmes, assurer la productivité à long terme et limiter les conflits d’usage"/>
    <b v="0"/>
    <x v="0"/>
    <s v="NA"/>
    <s v="Hors GES"/>
    <s v="Accompagnement des filières de la pêche et de l’aquaculture -&gt; séparation pêche et aquaculture"/>
    <s v="Réorganisation"/>
    <x v="0"/>
    <b v="1"/>
    <m/>
    <n v="1"/>
    <m/>
    <m/>
    <n v="3"/>
    <m/>
    <x v="0"/>
    <x v="6"/>
  </r>
  <r>
    <s v="Se nourrir"/>
    <x v="7"/>
    <x v="24"/>
    <s v="Réduire l'empreinte de l'alimentation de 27 % à 32 % en 2030 et de 52 à 58 % en 2050 par rapport à 2010 (engagement)"/>
    <s v="SNBC 3"/>
    <s v="Empreinte carbone de l'alimentation"/>
    <s v="Empreinte carbone de l'alimentation [tCO2eq/hab]"/>
    <m/>
    <s v="CGDD"/>
    <s v="Restauration collective"/>
    <s v="50 % de produits de qualité, durables dont 20% de bio, dans la restauration collective"/>
    <s v="SNANC / loi Egalim"/>
    <s v="Agriculture / alimentation"/>
    <m/>
    <n v="3"/>
    <m/>
    <m/>
    <m/>
    <m/>
    <m/>
    <m/>
    <m/>
    <s v="Restauration collective"/>
    <s v="Restauration co."/>
    <m/>
    <b v="1"/>
    <x v="0"/>
    <s v="NA"/>
    <s v="Hors GES"/>
    <s v="Loi Egalim / Climat &amp; Résilience "/>
    <s v="Marginal"/>
    <x v="0"/>
    <b v="1"/>
    <m/>
    <m/>
    <n v="1"/>
    <m/>
    <n v="3"/>
    <n v="3"/>
    <x v="2"/>
    <x v="2"/>
  </r>
  <r>
    <s v="Se nourrir"/>
    <x v="1"/>
    <x v="1"/>
    <m/>
    <m/>
    <m/>
    <m/>
    <m/>
    <m/>
    <s v="Evolution du régime alimentaire (viande, saisonnalité, etc.)"/>
    <s v="Réduire la consommation par personne de viande hors volailles de 12 % à horizon 2030 et de 29 % à horizon 2050, par rapport à 2020_x000a_Augmenter la consommation par personne de fruits et légumes : +10 % à horizon 2030 et +23 % à horizon 2050, par rapport à 2020._x000a_Multiplication par 2 de la consommation de légumineuses à horizon 2030 et par 3,7 à horizon 2050 (par rapport à 2020)."/>
    <s v="SNBC 3 : _x000a_augmentation de la consommation de fruits et légumes frais (+10 % à horizon 2030 et +23 % à horizon 2050, par rapport à 2020) et de légumineuses (multiplication par deux à horizon 2030 et par 3,7 à horizon 2050), ainsi que de céréales complètes. Atteinte d’une consommation globale moindre de la consommation de viande hors volailles (-12 % à horizon 2030 et -29 % à horizon 2050, par rapport à 2020), "/>
    <s v="Agriculture / alimentation"/>
    <m/>
    <n v="3"/>
    <m/>
    <m/>
    <m/>
    <m/>
    <m/>
    <m/>
    <s v="augmentation de la consommation de fruits et légumes frais (+10 % à horizon 2030 et +23 % à horizon 2050, par rapport à 2020) et de légumineuses (multiplication par deux à horizon 2030 et par 3,7 à horizon 2050), ainsi que de céréales complètes. Atteinte d’une consommation globale moindre de la consommation de viande hors volailles (-12 % à horizon 2030 et -29 % à horizon 2050, par rapport à 2020), notamment en réduisant la surconsommation et en ayant recours à davantage de protéines végétales, de manière à respecter les repères nutritionnels du Programme national nutrition santé (PNNS). Ce dernier préconise notamment de limiter la consommation par personne à 500g de viande hors volaille et 150g de charcuterie par semaine, de consommer des légumes secs au moins 2 fois par semaine ainsi que 2 produits laitiers (lait, yaourts, fromage blanc) et 5 fruits et légumes par jour."/>
    <m/>
    <m/>
    <m/>
    <b v="1"/>
    <x v="0"/>
    <m/>
    <m/>
    <m/>
    <m/>
    <x v="0"/>
    <b v="1"/>
    <n v="3"/>
    <m/>
    <n v="1"/>
    <m/>
    <n v="1"/>
    <n v="1"/>
    <x v="3"/>
    <x v="0"/>
  </r>
  <r>
    <s v="Se nourrir"/>
    <x v="1"/>
    <x v="1"/>
    <m/>
    <m/>
    <m/>
    <m/>
    <m/>
    <m/>
    <s v="Consommation de produits issus de l'agriculture biologique"/>
    <s v="Viser une cible de 12 % de consommation de produits bio en valeur et en moyenne pour l’ensemble de la population sur l’ensemble des circuits de consommation "/>
    <s v="SNANC"/>
    <s v="Agriculture / alimentation"/>
    <m/>
    <n v="3"/>
    <m/>
    <m/>
    <m/>
    <m/>
    <m/>
    <m/>
    <m/>
    <m/>
    <m/>
    <m/>
    <b v="1"/>
    <x v="0"/>
    <m/>
    <m/>
    <m/>
    <m/>
    <x v="0"/>
    <b v="1"/>
    <n v="1"/>
    <m/>
    <m/>
    <m/>
    <n v="1"/>
    <n v="1"/>
    <x v="2"/>
    <x v="7"/>
  </r>
  <r>
    <s v="Se nourrir"/>
    <x v="1"/>
    <x v="1"/>
    <m/>
    <m/>
    <m/>
    <m/>
    <m/>
    <m/>
    <s v="Réduction du gaspillage alimentaire"/>
    <s v="Réduction du gaspillage alimentaire, d’environ 15% à horizon 2030 et 50% à horizon 2050 par rapport au niveau de 2015"/>
    <s v="SNBC 3 / loi AGEC - article 11_x000a_Réduire le gaspillage alimentaire de 50 % d’ici 2030 par rapport à 2015_x000a_Réduire les déchets alimentaires de 30% (distribution, restauration et ménages) et de 10% (industrie agroalimentaire) d’ici 2030, par rapport à la moyenne 2021-2023&quot;"/>
    <s v="Agriculture / alimentation"/>
    <m/>
    <n v="3"/>
    <m/>
    <m/>
    <m/>
    <m/>
    <m/>
    <m/>
    <m/>
    <m/>
    <m/>
    <m/>
    <b v="1"/>
    <x v="0"/>
    <m/>
    <m/>
    <m/>
    <m/>
    <x v="0"/>
    <b v="1"/>
    <n v="3"/>
    <m/>
    <n v="1"/>
    <m/>
    <n v="1"/>
    <n v="1"/>
    <x v="3"/>
    <x v="0"/>
  </r>
  <r>
    <s v="Préserver"/>
    <x v="8"/>
    <x v="25"/>
    <s v="37 Mt de CO2 aborbées par le puits forestier"/>
    <s v="à définir (SNBC 3)_x000a_La séquestration de carbone dans les produits bois augmente ainsi progressivement de 1 Mt CO2e/an aujourd’hui à 3 Mt CO2e/an en 2030 et 7 Mt CO2e/an en 2050. "/>
    <s v="Evolution du puits forestier"/>
    <m/>
    <m/>
    <s v="CITEPA"/>
    <s v="Gestion durable des forêts et production de bois"/>
    <s v="Maîtrise de la mortalité à 37,2 MtCO2 en 2020, 29 Mt en 2030, 32,5 Mt en 2040, 35 Mt en 2050"/>
    <s v="Stratégie nationale biodiversité 2030 :_x000a_60 % des forêts dotées d'un DGD d'ici 2030_x000a__x000a_SNBC 3_x000a_le taux de mortalité continue d’augmenter jusqu’à 2025-2027, puis diminue aux alentours de 2030 pour atteindre un niveau plus faible qu’au sommet de la crise mais restant relativement supérieur au niveau antérieur à la crise (pré-2015). La mortalité augmente ensuite à nouveau jusqu’à 2050 pour atteindre un niveau comparable à celui des années de crise 2018-2019"/>
    <s v="Ecosystèmes, terres et fôrets"/>
    <m/>
    <m/>
    <m/>
    <m/>
    <m/>
    <m/>
    <m/>
    <n v="3"/>
    <m/>
    <s v="Forêts sous gestion durable"/>
    <s v="Forêts durables"/>
    <s v="Un milliard d'arbres plantés avec des essences adaptées au climat futur, adaptation des essences, etc."/>
    <b v="1"/>
    <x v="0"/>
    <s v="Leviers forêt-bois"/>
    <s v="Regroupements / scissions"/>
    <s v="Gestion durable des forêts et produits bois -&gt; scindé"/>
    <m/>
    <x v="0"/>
    <b v="1"/>
    <n v="3"/>
    <n v="3"/>
    <m/>
    <m/>
    <m/>
    <n v="3"/>
    <x v="2"/>
    <x v="2"/>
  </r>
  <r>
    <s v="Préserver"/>
    <x v="1"/>
    <x v="1"/>
    <m/>
    <m/>
    <m/>
    <m/>
    <m/>
    <m/>
    <s v="Accroissement des surfaces forestières"/>
    <s v="Augmenter le rythme annuel de boisement hors forêt de 100 ha/an en 2021 à 20 000 ha/an en 2030, et ce jusqu’en 2039. Celui-ci baisse ensuite jusqu’à 15 000 ha/an en 2050. "/>
    <s v="SNBC 3_x000a_le rythme annuel de boisement hors forêt augmente de 100 ha/an en 2021 à 20 000 ha/an en 2030, et ce jusqu’en 2039. Celui-ci baisse ensuite jusqu’à 15 000 ha/an en 2050. _x000a_Les émissions liées au déboisement passent de 16 Mt CO2e/an aujourd’hui à 7 Mt CO2e/an en 2030 et 3 Mt CO2e/an en 2050. "/>
    <s v="Ecosystèmes, terres et fôrets"/>
    <m/>
    <m/>
    <m/>
    <m/>
    <m/>
    <m/>
    <m/>
    <n v="3"/>
    <m/>
    <m/>
    <m/>
    <m/>
    <b v="0"/>
    <x v="0"/>
    <s v="Leviers forêt-bois"/>
    <s v="Regroupements / scissions"/>
    <m/>
    <m/>
    <x v="0"/>
    <b v="1"/>
    <n v="3"/>
    <m/>
    <m/>
    <m/>
    <m/>
    <m/>
    <x v="1"/>
    <x v="0"/>
  </r>
  <r>
    <s v="Préserver"/>
    <x v="1"/>
    <x v="1"/>
    <m/>
    <m/>
    <m/>
    <m/>
    <m/>
    <m/>
    <s v="Développement de la production de bois énergie"/>
    <s v="Augmentation de la production de bois-énergie hors forêt d’environ 3 TWh à horizon 2030 et d’environ 5 TWh à horizon 2050, par rapport à 21 TWh en 2020"/>
    <s v="SNBC 3 :_x000a_augmenter la production de bois-énergie hors forêt d’environ 3 TWh à horizon 2030 et d’environ 5 TWh à horizon 2050, par rapport à 21 TWh en 2020."/>
    <s v="Ecosystèmes, terres et fôrets"/>
    <m/>
    <m/>
    <m/>
    <m/>
    <m/>
    <m/>
    <m/>
    <n v="3"/>
    <m/>
    <m/>
    <m/>
    <m/>
    <b v="0"/>
    <x v="1"/>
    <m/>
    <m/>
    <m/>
    <m/>
    <x v="0"/>
    <b v="0"/>
    <n v="3"/>
    <m/>
    <m/>
    <m/>
    <m/>
    <m/>
    <x v="1"/>
    <x v="1"/>
  </r>
  <r>
    <s v="Préserver"/>
    <x v="1"/>
    <x v="1"/>
    <m/>
    <m/>
    <m/>
    <m/>
    <m/>
    <m/>
    <s v="Développement des produits bois"/>
    <s v="Augmentation de la récolte de bois à vocation non énergétique, de 29 Mm3 en 2020 à 34 Mm3 en 2030 (+19 %), 39 Mm3 en 2040 (+37 %) et 44 Mm3 en 2050 (+ 54 %)"/>
    <s v="SNBC 3 - hypothèses AMS, Evolution de la récolte (Mm3)"/>
    <s v="Ecosystèmes, terres et fôrets"/>
    <m/>
    <m/>
    <m/>
    <m/>
    <m/>
    <m/>
    <m/>
    <n v="3"/>
    <m/>
    <s v="Production bois"/>
    <s v="Prod. Bois"/>
    <m/>
    <b v="0"/>
    <x v="0"/>
    <s v="Leviers forêt-bois"/>
    <s v="Marginal"/>
    <s v="Gestion durable des forêts et produits bois -&gt; scindé"/>
    <s v="Marginal"/>
    <x v="0"/>
    <b v="1"/>
    <n v="3"/>
    <m/>
    <m/>
    <m/>
    <m/>
    <m/>
    <x v="1"/>
    <x v="0"/>
  </r>
  <r>
    <s v="Produire"/>
    <x v="8"/>
    <x v="26"/>
    <s v="Réduire de 10 % les prélèvements d'eau douce d’ici 2030 par rapport à 2022"/>
    <s v="Plan eau 2023"/>
    <m/>
    <m/>
    <m/>
    <m/>
    <s v="Plan eau pour 55 sites industriels"/>
    <s v="Baisse de 12,6 % des prélèvements des 55 sites les plus consommateurs à horizon 2030"/>
    <s v="Plan Eau : 55 sites industriels engagés pour une sobriété hydrique"/>
    <s v="Industrie"/>
    <m/>
    <m/>
    <n v="3"/>
    <m/>
    <m/>
    <m/>
    <m/>
    <m/>
    <m/>
    <s v="Prélèvements d'eau industriels"/>
    <s v="Eau industrie"/>
    <s v="Suivi gestion eau des 50 sites / Plan eau dans l'industrie"/>
    <b v="0"/>
    <x v="0"/>
    <s v="NA"/>
    <s v="Hors GES"/>
    <s v="Sobriété dans l’utilisation de la ressource en eau"/>
    <s v="Déclinaison sectorielle d'un levier"/>
    <x v="0"/>
    <b v="1"/>
    <m/>
    <n v="1"/>
    <n v="3"/>
    <m/>
    <m/>
    <m/>
    <x v="0"/>
    <x v="8"/>
  </r>
  <r>
    <s v="Produire"/>
    <x v="1"/>
    <x v="1"/>
    <m/>
    <m/>
    <m/>
    <m/>
    <m/>
    <m/>
    <s v="Maîtrise des besoins d'irrigation"/>
    <s v="à définir"/>
    <s v="Hypothèses techniques du plan eau 2023 : Stabilité des prélèvements d'eau par rapport à 2019"/>
    <s v="Agriculture / alimentation"/>
    <m/>
    <n v="3"/>
    <m/>
    <m/>
    <m/>
    <m/>
    <m/>
    <m/>
    <m/>
    <s v="Maîtrise des besoins d'irrigation"/>
    <s v="Irrigation"/>
    <s v="Pilotage de la ressource en eau : efficacité et sobriété des usages"/>
    <b v="0"/>
    <x v="0"/>
    <s v="NA"/>
    <s v="Hors GES"/>
    <s v="Sobriété dans l’utilisation de la ressource en eau"/>
    <s v="Déclinaison sectorielle d'un levier"/>
    <x v="0"/>
    <b v="1"/>
    <m/>
    <n v="1"/>
    <n v="3"/>
    <m/>
    <m/>
    <m/>
    <x v="0"/>
    <x v="8"/>
  </r>
  <r>
    <s v="Préserver"/>
    <x v="1"/>
    <x v="1"/>
    <m/>
    <m/>
    <m/>
    <m/>
    <m/>
    <m/>
    <s v="Réduction du déséquilibre induit par les ouvrages de stockage à vocation agricole"/>
    <s v="100% des nouveaux ouvrages en conformité avec la doctrine dès 2026_x000a_x % des ouvrages en conformité en 2030"/>
    <s v="Doctrine de l'Etat sur les ouvrages de stockage hydrolique à usage principalement agricole"/>
    <s v="Agriculture / alimentation"/>
    <m/>
    <n v="3"/>
    <m/>
    <m/>
    <m/>
    <m/>
    <m/>
    <m/>
    <m/>
    <m/>
    <m/>
    <m/>
    <b v="0"/>
    <x v="0"/>
    <m/>
    <m/>
    <m/>
    <m/>
    <x v="0"/>
    <b v="1"/>
    <m/>
    <m/>
    <n v="3"/>
    <m/>
    <m/>
    <m/>
    <x v="1"/>
    <x v="8"/>
  </r>
  <r>
    <s v="Transverse"/>
    <x v="1"/>
    <x v="1"/>
    <m/>
    <m/>
    <m/>
    <m/>
    <m/>
    <m/>
    <s v="Réduction de la consommation d’eau des bâtiments"/>
    <s v="A définir"/>
    <s v="Objectif de -15% pour le résidentiel validé en RIM mais non repris par la suite, pas d'objectif en vigueur"/>
    <s v="Bâtiment"/>
    <m/>
    <m/>
    <m/>
    <n v="3"/>
    <m/>
    <m/>
    <m/>
    <m/>
    <m/>
    <m/>
    <m/>
    <m/>
    <b v="1"/>
    <x v="0"/>
    <m/>
    <m/>
    <m/>
    <m/>
    <x v="0"/>
    <b v="1"/>
    <m/>
    <m/>
    <n v="3"/>
    <m/>
    <m/>
    <m/>
    <x v="1"/>
    <x v="8"/>
  </r>
  <r>
    <s v="Préserver"/>
    <x v="6"/>
    <x v="27"/>
    <s v="à définir"/>
    <s v="Respect des directives européennes sur la qualité de l'eau potable "/>
    <m/>
    <m/>
    <m/>
    <m/>
    <s v="Protection des zones de captage d’eau"/>
    <s v="Identification et dotation d'un PGSSE de tous les points de captage sensibles (définition nationale à venir)"/>
    <s v="Plan eau"/>
    <s v="Mixte"/>
    <m/>
    <n v="3"/>
    <n v="3"/>
    <m/>
    <m/>
    <m/>
    <m/>
    <m/>
    <m/>
    <s v="Zones de captage d’eau"/>
    <s v="Zones captage"/>
    <m/>
    <b v="0"/>
    <x v="0"/>
    <s v="NA"/>
    <s v="Hors GES"/>
    <s v="Protection des zones de captage d’eau"/>
    <s v="Marginal"/>
    <x v="0"/>
    <b v="1"/>
    <m/>
    <m/>
    <n v="3"/>
    <m/>
    <m/>
    <m/>
    <x v="1"/>
    <x v="8"/>
  </r>
  <r>
    <s v="Se nourrir"/>
    <x v="1"/>
    <x v="1"/>
    <m/>
    <m/>
    <m/>
    <m/>
    <m/>
    <m/>
    <s v="Amélioration de la performance des services publics de l’eau potable et de l’assainissement"/>
    <s v="Résorption des 170 points noirs (collectivités ayant un rendement de réseau inférieur à 50%) avant 2030_x000a_Part des schémas directeurs d’alimentation en eau potable sur les territoires identifiés en tension au cours de de la mission IGEDD de 2022-2023 sur la gestion de l’eau lors de la sécheresse de 2022 et tenant compte de la TRACC"/>
    <s v="Plan eau 2023"/>
    <s v="Aménagement et organisations"/>
    <m/>
    <m/>
    <m/>
    <m/>
    <m/>
    <m/>
    <n v="3"/>
    <m/>
    <m/>
    <s v="Efficacité services de l’eau"/>
    <s v="Réseau eau"/>
    <s v="Surélévation de certains équipements, _x000a_Utilisation de méthodes de monitoring pour contrôler le niveau d’eau et assurer une gestion de crise en fonction des prévisions,_x000a_Mise en place de systèmes de dérivation pour détourner les flux excédentaires en cas de surcharge,_x000a_Augmentation de la fréquence des contrôles des infrastructures,_x000a_Lutte contre les fuites des réseaux de distribution, notamment via des dispositifs de suivi des consommations."/>
    <b v="0"/>
    <x v="0"/>
    <s v="NA"/>
    <s v="Hors GES"/>
    <s v="Renforcement des services publics de l’eau potable et de l’assainissement"/>
    <s v="Réorganisation"/>
    <x v="0"/>
    <b v="1"/>
    <m/>
    <n v="1"/>
    <n v="3"/>
    <m/>
    <m/>
    <m/>
    <x v="0"/>
    <x v="8"/>
  </r>
  <r>
    <s v="Préserver"/>
    <x v="6"/>
    <x v="28"/>
    <s v="à définir"/>
    <s v="à définir"/>
    <m/>
    <m/>
    <m/>
    <m/>
    <s v="Mobilisation des ressources dans les ouvrages existants"/>
    <s v="A définir (m3 mobilisés parmi les ouvrages existants)"/>
    <m/>
    <s v="Aménagement et organisations"/>
    <m/>
    <m/>
    <m/>
    <m/>
    <m/>
    <m/>
    <n v="3"/>
    <m/>
    <m/>
    <m/>
    <m/>
    <m/>
    <b v="0"/>
    <x v="0"/>
    <s v="NA"/>
    <s v="Hors GES"/>
    <s v="Absent"/>
    <s v="Eau"/>
    <x v="2"/>
    <b v="1"/>
    <m/>
    <n v="1"/>
    <n v="3"/>
    <m/>
    <m/>
    <m/>
    <x v="0"/>
    <x v="8"/>
  </r>
  <r>
    <s v="Préserver"/>
    <x v="1"/>
    <x v="1"/>
    <m/>
    <m/>
    <m/>
    <m/>
    <m/>
    <m/>
    <s v="Valorisation des eaux non conventionnelles"/>
    <s v="10 % de réutilisation d'eau potable usée en 2030"/>
    <s v="Plan eau 2023"/>
    <s v="Aménagement et organisations"/>
    <m/>
    <m/>
    <m/>
    <m/>
    <m/>
    <m/>
    <n v="3"/>
    <m/>
    <m/>
    <s v="Eaux non conventionnelles"/>
    <s v="REUT"/>
    <m/>
    <b v="1"/>
    <x v="0"/>
    <s v="NA"/>
    <s v="Hors GES"/>
    <s v="Absent"/>
    <s v="Eau"/>
    <x v="2"/>
    <b v="1"/>
    <m/>
    <m/>
    <n v="3"/>
    <m/>
    <m/>
    <m/>
    <x v="1"/>
    <x v="8"/>
  </r>
  <r>
    <s v="Préserver"/>
    <x v="1"/>
    <x v="1"/>
    <m/>
    <m/>
    <m/>
    <m/>
    <m/>
    <m/>
    <s v="Désimperméabilisation des sols artificialisés"/>
    <s v="A définir"/>
    <s v="Plan eau 2023"/>
    <s v="Aménagement et organisations"/>
    <m/>
    <m/>
    <m/>
    <m/>
    <m/>
    <m/>
    <n v="3"/>
    <m/>
    <m/>
    <s v="Désimperméabilisation des sols"/>
    <s v="Désimperméab."/>
    <s v="Mener des opérations de désimperméabilisation des sols (par ex. cours d’école)_x000a_Favoriser l'infiltration ou l'évaporation des eaux pluviales dans les zones urbaines au plus proche de là où elles tombent  lorsque cela est possible, en tenant compte du risque de mouvements de part la nature des sol et en contrôlant le début de fuite,_x000a_Ajouter dans les PLU un % minimum de pleine terre."/>
    <b v="1"/>
    <x v="0"/>
    <s v="NA"/>
    <s v="Hors GES"/>
    <s v="Désimperméabilisation des sols"/>
    <s v="Marginal"/>
    <x v="0"/>
    <b v="1"/>
    <m/>
    <n v="1"/>
    <n v="3"/>
    <m/>
    <m/>
    <n v="1"/>
    <x v="2"/>
    <x v="8"/>
  </r>
  <r>
    <s v="Préserver"/>
    <x v="8"/>
    <x v="29"/>
    <s v="30 % du territoire couvert par des aires protégées"/>
    <s v="Stratégie nationale biodiversité 2030"/>
    <m/>
    <m/>
    <m/>
    <m/>
    <s v="Aires protégées"/>
    <s v="30 % du territoire national terrestre et marin protégé, dont un tiers sous protection forte d’ici 2030"/>
    <s v="Stratégie nationale biodiversité 2030"/>
    <s v="Ecosystèmes, terres et fôrets"/>
    <m/>
    <m/>
    <m/>
    <m/>
    <m/>
    <m/>
    <m/>
    <n v="3"/>
    <m/>
    <s v="Aires protégées"/>
    <s v="Aires protégées"/>
    <s v="Conception d’une stratégie locale de création et d’extension des aires protégées,_x000a_Proposition de labellisation en Protection Forte de terrains éligibles (terrains des Conservatoires d’Espaces Naturels, Obligations réelles environnementales, sites classés à dominante naturelle, forêt de protection…),_x000a_Etude de la pertinence de la création d’aires protégées à proximité des ZNIEFF et/ou des zones d’enjeux écologiques sous pressions (via Atlas de la Biodiversité Communale, données INPN…),_x000a_Renforcement de la cohérence et connectivité du réseau d’aires,_x000a_Garantir la compatibilité des usages par un cadre de surveillance des activités pratiquées dans les aires protégées."/>
    <b v="0"/>
    <x v="0"/>
    <s v="NA"/>
    <s v="Hors GES"/>
    <s v="Augmentation de la surface en aire protégée"/>
    <s v="Marginal"/>
    <x v="0"/>
    <b v="1"/>
    <m/>
    <m/>
    <m/>
    <m/>
    <m/>
    <n v="3"/>
    <x v="1"/>
    <x v="5"/>
  </r>
  <r>
    <s v="Préserver"/>
    <x v="1"/>
    <x v="1"/>
    <m/>
    <m/>
    <m/>
    <m/>
    <m/>
    <m/>
    <s v="Protection des espèces menacées"/>
    <s v="300 espèces protégées par un plan de conservation"/>
    <s v="Stratégie nationale biodiversité 2030"/>
    <s v="Ecosystèmes, terres et fôrets"/>
    <m/>
    <m/>
    <m/>
    <m/>
    <m/>
    <m/>
    <m/>
    <n v="3"/>
    <m/>
    <s v="Espèces menacées"/>
    <s v="Esp. menacées"/>
    <m/>
    <b v="0"/>
    <x v="0"/>
    <s v="NA"/>
    <s v="Hors GES"/>
    <s v="Absent"/>
    <s v="Biodiversité"/>
    <x v="2"/>
    <b v="1"/>
    <m/>
    <m/>
    <m/>
    <m/>
    <m/>
    <n v="3"/>
    <x v="1"/>
    <x v="5"/>
  </r>
  <r>
    <s v="Préserver"/>
    <x v="1"/>
    <x v="1"/>
    <m/>
    <m/>
    <m/>
    <m/>
    <m/>
    <m/>
    <s v="Restauration des habitats naturels"/>
    <s v="50 000 ha de zones humides restaurées dès 2026"/>
    <s v="Stratégie nationale biodiversité 2030"/>
    <s v="Ecosystèmes, terres et fôrets"/>
    <m/>
    <m/>
    <m/>
    <m/>
    <m/>
    <m/>
    <m/>
    <n v="3"/>
    <m/>
    <s v="Restauration des habitats naturels"/>
    <s v="Restau. Habitats"/>
    <s v="Identification des zones préférentielles pour la renaturation (ZPR) via des états des lieux de la biodiversité,_x000a_Création d’une entité publique de mise en œuvre des Sites Naturels de Compensation et Sites Naturels de Restauration et de Renaturation,_x000a_Sécurisation du foncier (ex. maîtrise foncière, bail rural environnemental, SAFER, obligation réelle environnementale…),_x000a_Financement et accompagnement des opérations de restauration d’habitats,_x000a_Information des maîtres d’ouvrage sur le dispositif SNC/SNRR et ses intérêts,_x000a_Formation des agents de collectivités au génie écologique."/>
    <b v="0"/>
    <x v="0"/>
    <s v="NA"/>
    <s v="Hors GES"/>
    <s v="Restauration des habitats naturels"/>
    <s v="Marginal"/>
    <x v="0"/>
    <b v="1"/>
    <m/>
    <m/>
    <n v="3"/>
    <m/>
    <m/>
    <n v="3"/>
    <x v="0"/>
    <x v="2"/>
  </r>
  <r>
    <s v="Préserver"/>
    <x v="1"/>
    <x v="1"/>
    <m/>
    <m/>
    <m/>
    <m/>
    <m/>
    <m/>
    <s v="Résorption des points noirs prioritaires de continuité écologique"/>
    <s v="Identification et résorption de 100 % des points noirs prioritaires (définition nationale à venir)"/>
    <s v="Stratégie nationale biodiversité 2030"/>
    <s v="Ecosystèmes, terres et fôrets"/>
    <m/>
    <m/>
    <m/>
    <m/>
    <m/>
    <m/>
    <m/>
    <n v="3"/>
    <m/>
    <s v="Points noirs de continuité"/>
    <s v="Points noirs"/>
    <s v="L’intégration des trames vertes, bleues et noires dans les documents d’urbanisme,_x000a_La restauration des cours d’eau et de leur continuité,_x000a_La reconnexion des zones humides littorales à la mer,_x000a_L’effacement des principaux obstacles de continuité écologique,_x000a_La réduction des pollutions lumineuses."/>
    <b v="0"/>
    <x v="0"/>
    <s v="NA"/>
    <s v="Hors GES"/>
    <s v="Résorption des points noirs prioritaires de continuité écologique"/>
    <s v="Marginal"/>
    <x v="0"/>
    <b v="1"/>
    <m/>
    <m/>
    <m/>
    <m/>
    <m/>
    <n v="3"/>
    <x v="1"/>
    <x v="5"/>
  </r>
  <r>
    <s v="Préserver"/>
    <x v="8"/>
    <x v="30"/>
    <m/>
    <s v="à définir"/>
    <m/>
    <m/>
    <m/>
    <m/>
    <s v="Régulation des espèces exotiques envahissantes"/>
    <s v="Baisse de 50 % du taux d’introductions d’espèces exotiques envahissantes par rapport à 20XX"/>
    <s v="Stratégie nationale biodiversité 2030_x000a_Impact : "/>
    <s v="Ecosystèmes, terres et fôrets"/>
    <m/>
    <m/>
    <m/>
    <m/>
    <m/>
    <m/>
    <m/>
    <n v="3"/>
    <m/>
    <s v="Espèces exotiques envahi."/>
    <s v="EEE"/>
    <s v="Mieux prévenir l’entrée sur le territoire d’espèces exotiques envahissantes via le renforcement de contrôles et des campagnes de sensibilisation ciblées,_x000a_Surveiller l’ensemble du territoire en renforçant la coopération au niveau régional avec les pays frontaliers,_x000a_Limiter les populations et les impacts des EEE quand elles sont installées, en visant l’éradication pour les espèces émergentes et le contrôle des fronts de propagation pour les espèces largement répandues."/>
    <b v="0"/>
    <x v="0"/>
    <s v="NA"/>
    <s v="Hors GES"/>
    <s v="Régulation des espèces exotiques envahissantes"/>
    <s v="Marginal"/>
    <x v="0"/>
    <b v="1"/>
    <m/>
    <m/>
    <m/>
    <m/>
    <m/>
    <n v="3"/>
    <x v="1"/>
    <x v="5"/>
  </r>
  <r>
    <s v="Préserver"/>
    <x v="1"/>
    <x v="1"/>
    <m/>
    <m/>
    <m/>
    <m/>
    <m/>
    <m/>
    <s v="Pollution lumineuse"/>
    <s v="Baisse de 50 % de la pollution lumineuse"/>
    <s v="Stratégie nationale biodiversité 2030"/>
    <s v="Aménagement et organisations"/>
    <m/>
    <m/>
    <m/>
    <m/>
    <m/>
    <m/>
    <n v="3"/>
    <m/>
    <m/>
    <s v="Pollution lumineuse"/>
    <s v="Pol. lumineuse"/>
    <m/>
    <b v="0"/>
    <x v="0"/>
    <s v="NA"/>
    <s v="Hors GES"/>
    <s v="Absent"/>
    <s v="Biodiversité"/>
    <x v="2"/>
    <b v="1"/>
    <m/>
    <m/>
    <m/>
    <m/>
    <m/>
    <n v="3"/>
    <x v="1"/>
    <x v="5"/>
  </r>
  <r>
    <s v="Transverse"/>
    <x v="9"/>
    <x v="31"/>
    <s v="A définir"/>
    <s v="à définir"/>
    <m/>
    <m/>
    <m/>
    <m/>
    <s v="Prévention des éboulements et glissement de terrain"/>
    <s v="100 % des STePRiM incluant des actions de prévention qui prennent en compte le changement climatique dès 2025"/>
    <s v="Plan national d'adaptation au changement climatique 3"/>
    <s v="Aménagement et organisations"/>
    <m/>
    <m/>
    <m/>
    <m/>
    <m/>
    <m/>
    <n v="3"/>
    <m/>
    <m/>
    <s v="Prévention des éboulements"/>
    <s v="Eboulements"/>
    <s v="L’accent est donné aux solutions de prévention fondées sur la nature, notamment en s’appuyant sur la capacité des forêts à limiter le déclenchement des mouvements gravitaires et intercepter les projectiles rocheux. L’entretien des forêts pour qu’elles soient en bon état fonctionnel peut s’avérer plus efficace et moins coûteux que la construction et l’entretien d’ouvrages techniques. Le maintien d’une trame de bois permet de limiter le départ des pierres et de ralentir les projectiles en mouvement ; et les peuplements jeunes, plus denses, sont les plus efficaces pour retenir les chutes de pierres._x000a__x000a_Des stratégies de protection peuvent également être envisagées : _x000a_Pour les éboulements rocheux : parades actives (actions de minage ou de purge des roches permettant d’éliminer le risque, ou encore mesures qui maintiennent en place les masses rocheuses) ou passives (mesures de maîtrise des conséquences du phénomène, merlons, écrans, déviations des roches…)._x000a_Pour les glissements de terrain : drainages , terrassements , inclusions rigides."/>
    <b v="0"/>
    <x v="0"/>
    <s v="NA"/>
    <s v="Hors GES"/>
    <s v="Prévention des éboulements et glissement de terrain"/>
    <s v="Marginal"/>
    <x v="0"/>
    <b v="1"/>
    <m/>
    <n v="3"/>
    <m/>
    <m/>
    <m/>
    <m/>
    <x v="1"/>
    <x v="3"/>
  </r>
  <r>
    <s v="Transverse"/>
    <x v="1"/>
    <x v="1"/>
    <m/>
    <m/>
    <m/>
    <m/>
    <m/>
    <m/>
    <s v="Prévention des inondations par débordement de cours d'eau, notamment via restauration des milieux aquatiques"/>
    <s v="100 % des Français en zones inondables couverts par la vigilance aux crues"/>
    <s v="Plan national d'adaptation au changement climatique 3"/>
    <s v="Aménagement et organisations"/>
    <m/>
    <m/>
    <m/>
    <m/>
    <m/>
    <m/>
    <n v="3"/>
    <m/>
    <m/>
    <s v="Protection contre les inondations"/>
    <s v="Inondations"/>
    <s v="Restaurer l’hydromorphologie des cours d’eau, végétaliser les berges,_x000a_Lutter contre le réchauffement et l’évaporation des eaux grâce à la suppression des obstacles transversaux et la reconnexion avec les berges naturelles,_x000a_Protéger et restaurer les zones humides pour améliorer la régulation du cycle de l’eau : amortissement des phénomènes hydrauliques extrêmes ; soutien naturel des étiages et restauration de l’infiltration de l’eau dans le sol,_x000a_Restaurer les interconnexions entre cours d’eau et zones humides,_x000a_Préserver et restaurer les têtes de bassin versant."/>
    <b v="0"/>
    <x v="0"/>
    <s v="NA"/>
    <s v="Hors GES"/>
    <s v="Prévention des inondations, notamment via restauration des milieux aquatiques"/>
    <s v="Marginal"/>
    <x v="0"/>
    <b v="1"/>
    <m/>
    <n v="3"/>
    <m/>
    <m/>
    <m/>
    <m/>
    <x v="1"/>
    <x v="3"/>
  </r>
  <r>
    <s v="Transverse"/>
    <x v="1"/>
    <x v="1"/>
    <m/>
    <m/>
    <m/>
    <m/>
    <m/>
    <m/>
    <s v="Prévention des inondations par ruissellement"/>
    <s v="A définir"/>
    <s v="-"/>
    <s v="Aménagement et organisations"/>
    <m/>
    <m/>
    <m/>
    <m/>
    <m/>
    <m/>
    <n v="3"/>
    <m/>
    <m/>
    <s v="Désimperméabilisation des sols"/>
    <s v="Désimperméab."/>
    <s v="Mener des opérations de désimperméabilisation des sols (par ex. cours d’école)_x000a_Favoriser l'infiltration ou l'évaporation des eaux pluviales dans les zones urbaines au plus proche de là où elles tombent  lorsque cela est possible, en tenant compte du risque de mouvements de part la nature des sol et en contrôlant le début de fuite,_x000a_Ajouter dans les PLU un % minimum de pleine terre."/>
    <b v="1"/>
    <x v="0"/>
    <s v="NA"/>
    <s v="Hors GES"/>
    <s v="Ralentissement du ruissellement sur les sols agricoles et artificialisés"/>
    <s v="Marginal"/>
    <x v="0"/>
    <b v="1"/>
    <m/>
    <n v="1"/>
    <n v="3"/>
    <m/>
    <m/>
    <n v="1"/>
    <x v="2"/>
    <x v="8"/>
  </r>
  <r>
    <s v="Transverse"/>
    <x v="1"/>
    <x v="1"/>
    <m/>
    <m/>
    <m/>
    <m/>
    <m/>
    <m/>
    <s v="Renaturation des villes et réduction de l'effet d'îlot de chaleur urbain"/>
    <s v="100 ha renaturés par an à partir de 2022"/>
    <s v="Stratégie nationale biodiversité 2030"/>
    <s v="Aménagement et organisations"/>
    <m/>
    <m/>
    <m/>
    <m/>
    <m/>
    <m/>
    <n v="3"/>
    <m/>
    <m/>
    <s v="Ilots de chaleur urbains"/>
    <s v="Ilots de chaleur"/>
    <s v="La renaturation des espaces urbains (végétalisation et dés-imperméabilisation), _x000a_La réintroduction de l’eau en ville, et la préservation et restauration des zones humides en ville,_x000a_La mise en œuvre d’une gestion écologique des espaces verts urbains,_x000a_Des interventions sur les matériaux (substitution, couleur), revêtements réfléchissants sur toiture, toits végétalisés,_x000a_La mise en place de dispositifs ad hoc (dispositifs d’ombrage, fontaines…)."/>
    <b v="0"/>
    <x v="0"/>
    <s v="NA"/>
    <s v="Hors GES"/>
    <s v="Renaturation des villes et réduction de l'effet d'îlot de chaleur urbain"/>
    <s v="Marginal"/>
    <x v="0"/>
    <b v="1"/>
    <m/>
    <n v="3"/>
    <n v="1"/>
    <m/>
    <n v="1"/>
    <n v="1"/>
    <x v="3"/>
    <x v="3"/>
  </r>
  <r>
    <s v="Transverse"/>
    <x v="1"/>
    <x v="1"/>
    <m/>
    <m/>
    <m/>
    <m/>
    <m/>
    <m/>
    <s v="Protection et mise à l'abri des personnes vulnérables"/>
    <s v="A définir"/>
    <s v="-"/>
    <s v="Aménagement et organisations"/>
    <m/>
    <m/>
    <m/>
    <m/>
    <m/>
    <m/>
    <n v="3"/>
    <m/>
    <m/>
    <s v="Personnes vulnérables"/>
    <s v="Pers. vulnérables"/>
    <s v="Identifier et localiser les personnes vulnérables, par exemple à travers l’amélioration des registres des personnes vulnérables (mobilisation de relais potentiels : professionnels de santé, aidants professionnels, associations de bénévoles, caisses de retraite, Poste, CPAM, CAF, etc.), et l’analyse des niveaux et conditions de vie des habitants,_x000a_Varier les outils de communication de ces registres (courrier, mail, SMS, appel, affichage municipal, fiches d'inscription dans les salles d'attente des médecins etc.),_x000a_Cartographier (capacité, accessibilité) les sites rafraîchis pouvant recevoir du public (ERP, parcs, équipements sportifs, bibliothèques), ainsi que les points d’accès publics à l’eau potable (fontaine), les renforcer en cas de maillage trop faible et diffuser ces cartographies via des canaux pertinents (par ex. aux sans abris via le Samu social),_x000a_Mettre en place des systèmes de prise en charges et moyens d’intervention/évacuation (par ex. transports) vers les points de fraîcheur."/>
    <b v="0"/>
    <x v="0"/>
    <s v="NA"/>
    <s v="Hors GES"/>
    <s v="Protection et mise à l'abri des personnes vulnérables"/>
    <s v="Marginal"/>
    <x v="0"/>
    <b v="1"/>
    <m/>
    <n v="3"/>
    <m/>
    <m/>
    <m/>
    <m/>
    <x v="1"/>
    <x v="3"/>
  </r>
  <r>
    <s v="Transverse"/>
    <x v="9"/>
    <x v="32"/>
    <s v="A définir"/>
    <s v="à définir"/>
    <m/>
    <m/>
    <m/>
    <m/>
    <s v="Prévention des dégâts causés par le retrait-gonflement des argiles"/>
    <s v="A définir_x000a_Part des ménages propriétaires d’une maison concernée par le RGA ayant bénéficié d’une décision d’aide"/>
    <s v="-"/>
    <s v="Aménagement et organisations"/>
    <m/>
    <m/>
    <m/>
    <m/>
    <m/>
    <m/>
    <n v="3"/>
    <m/>
    <m/>
    <s v="Retraits-gonflements des argiles"/>
    <s v="RGA"/>
    <s v="Retraits-gonflements des argiles_x000a_PNACC : Compléter les financements dédiés à la prévention individuelle et collective des risques naturels par 200 M€ centrés sur la prévention individuelle et collective en complément du Fonds Barnier et du Fonds vert. Le financement fléché spécifiquement vers des mesures d’adaptation augmentera progressivement pour totaliser ainsi 1Mds€ d’ici 2027_x000a__x000a_Territo : _x000a_Faire connaître le phénomène de RGA ainsi que les mesures de prévention et de remédiation qui peuvent être mises en places,_x000a_Faire respecter les mesures prévues pour les constructions neuves (réalisation d’études géotechniques, profondeur des fondations…)_x000a_Déployer les solutions « horizontales » : gestion des eaux, gestion de la végétation,_x000a_Mobiliser, lorsque pertinent, les solutions dites « verticales » qui visent à renforcer les fondations des maisons existantes, bien que lourdes et coûteuses."/>
    <b v="0"/>
    <x v="0"/>
    <s v="NA"/>
    <s v="Hors GES"/>
    <s v="Prévention des dégâts causés par le retrait-gonflement des argiles"/>
    <s v="Marginal"/>
    <x v="0"/>
    <b v="1"/>
    <m/>
    <n v="3"/>
    <m/>
    <m/>
    <m/>
    <m/>
    <x v="1"/>
    <x v="3"/>
  </r>
  <r>
    <s v="Transverse"/>
    <x v="1"/>
    <x v="1"/>
    <m/>
    <m/>
    <m/>
    <m/>
    <m/>
    <m/>
    <s v="Intégration de l’élévation du niveau des mers dans l’aménagement du littoral"/>
    <s v="A préciser_x000a_% des communes ayant intégré la carte locale d’exposition au recul du trait de côte dans leur document d’urbanisme"/>
    <s v="-"/>
    <s v="Aménagement et organisations"/>
    <m/>
    <m/>
    <m/>
    <m/>
    <m/>
    <m/>
    <n v="3"/>
    <m/>
    <m/>
    <s v="Recul du trait de côte"/>
    <s v="Trait de côte"/>
    <s v="Examiner quelles seront les zones potentiellement submergées sur le littoral mais également dans les estuaires,_x000a_Anticiper le recul stratégique des infrastructures et populations à terme,_x000a_Examiner la vulnérabilité des aquifères côtiers à la salinisation,_x000a_Préserver et restaurer les écosystèmes côtiers (écosystèmes sableux, laisses de mer, zones humides, herbiers marins…) qui peuvent participer efficacement à lutter contre les submersions et l’érosion côtière,_x000a_Adopter une gestion souple du trait de côte._x000a__x000a_Dans les secteurs les plus menacés par l’érosion et la submersion, la recomposition spatiale des secteurs aménagés est privilégiée par rapport au développement de nouveaux ouvrages de défense, dans le cadre d’un projet d’ensemble, dans le champ de compétence du bloc communal. _x000a_Les solutions d’adaptation modulables (révisables en fonction de l’évolution de l’aléa) sont à privilégier. _x000a__x000a_En particulier, le décret n°2024-531 liste les 317 communes qui doivent élaborer une carte locale d’exposition au recul du trait de côte qui sera intégrée dans leur document local d’urbanisme."/>
    <b v="0"/>
    <x v="0"/>
    <s v="NA"/>
    <s v="Hors GES"/>
    <s v="Intégration de l’élévation du niveau des mers dans l’aménagement du littoral"/>
    <s v="Marginal"/>
    <x v="0"/>
    <b v="1"/>
    <m/>
    <n v="3"/>
    <m/>
    <m/>
    <m/>
    <m/>
    <x v="1"/>
    <x v="3"/>
  </r>
  <r>
    <s v="Transverse"/>
    <x v="1"/>
    <x v="1"/>
    <m/>
    <m/>
    <m/>
    <m/>
    <m/>
    <m/>
    <s v="Conditionnement du développement urbain et économique à la ressource en eau"/>
    <s v="A définir"/>
    <s v="-"/>
    <s v="Aménagement et organisations"/>
    <m/>
    <m/>
    <m/>
    <m/>
    <m/>
    <m/>
    <n v="3"/>
    <m/>
    <m/>
    <s v="Aménagement et dispo. eau"/>
    <s v="Aménag. Eau"/>
    <s v="Le conditionnement des nouvelles constructions et installations à la bonne disponibilité de la ressource en eau (art. R.151-34 code de l’urbanisme), et à la mise en adéquation avec les réseaux d’assainissement et la capacité des milieux récepteurs,_x000a_La fixation d’objectifs maximaux d’accueil de populations et/ou d’activités,_x000a_Les mesures en faveur d’une gestion économe de l’eau et favorisant l’infiltration des eaux, dans le cadre du PLU (Orientations prioritaires d’aménagement et règlement) et du zonage pluvial,_x000a_Les mesures qui peuvent être intégrées dans le cadre des opérations d’aménagement (programme d’une zone d’aménagement concertée, cahiers des charges de cession de  charges foncières…),_x000a_L’optimisation du foncier (renouvellement urbain, densification des zones déjà urbanisées, limitation des ouvertures à l’urbanisation…) afin de préserver les espaces perméables et limiter l’artificialisation,_x000a_Les mesures de protection des captages d’eau."/>
    <b v="0"/>
    <x v="0"/>
    <s v="NA"/>
    <s v="Hors GES"/>
    <s v="Aménagement du territoire prenant en compte la ressource en eau"/>
    <s v="Marginal"/>
    <x v="0"/>
    <b v="1"/>
    <m/>
    <n v="1"/>
    <n v="3"/>
    <m/>
    <m/>
    <m/>
    <x v="0"/>
    <x v="8"/>
  </r>
  <r>
    <s v="Produire"/>
    <x v="6"/>
    <x v="33"/>
    <s v="A définir"/>
    <s v="à définir"/>
    <m/>
    <m/>
    <m/>
    <m/>
    <s v="Renforcement de la résilience des services de santé"/>
    <s v="A préciser_x000a_Nombre de schéma régionaux de santé intégrant un axe sur l’adaptation au changement climatique en 2029"/>
    <s v="-"/>
    <s v="Aménagement et organisations"/>
    <m/>
    <m/>
    <m/>
    <m/>
    <m/>
    <m/>
    <n v="3"/>
    <m/>
    <m/>
    <s v="Résilience des services de santé"/>
    <s v="Résilience santé"/>
    <s v="Le levier vise en premier lieu à évaluer les répercussions des changements climatiques sur la santé des populations, et sur les infrastructures de santé (capacité à maintenir une continuité de service, à répondre à un besoin intensifié et un afflux de prises en charge)._x000a_En local, il s’agit d’identifier le niveau de vulnérabilité de chaque site au regard des risques inhérents sur son territoire d’implantation, aussi bien sur son infrastructure que sur les chaines d’approvisionnement énergétique, hydrique, logistique. "/>
    <b v="1"/>
    <x v="0"/>
    <s v="NA"/>
    <s v="Hors GES"/>
    <s v="Renforcement de la résilience des services de santé"/>
    <s v="Marginal"/>
    <x v="0"/>
    <b v="1"/>
    <m/>
    <n v="3"/>
    <m/>
    <m/>
    <m/>
    <m/>
    <x v="1"/>
    <x v="3"/>
  </r>
  <r>
    <s v="Produire"/>
    <x v="1"/>
    <x v="1"/>
    <m/>
    <m/>
    <m/>
    <m/>
    <m/>
    <m/>
    <s v="Préparation des services de secours"/>
    <s v="A préciser_x000a_Nombre de PCS et PICS (obligatoires et « facultatifs ») "/>
    <s v="-"/>
    <s v="Aménagement et organisations"/>
    <m/>
    <m/>
    <m/>
    <m/>
    <m/>
    <m/>
    <n v="3"/>
    <m/>
    <m/>
    <s v="Services de secours"/>
    <s v="Secours"/>
    <s v="La prise en compte de la sécurité civile dans l’aménagement du territoire : équipements DFCI, implantation des bases de secours, accès facilité des secours aux infrastructures stratégiques,_x000a_Le développement des connaissances sur l’évolution des risques naturels et sanitaires et de leurs implications pour l’organisation des secours,_x000a_L’évolution des moyens (humains, matériels et technologiques) adaptés aux conditions d’intervention futures,_x000a_Le renforcement de la mobilisation des civils engagés volontaires (pompiers volontaires, associations de sécurité civile…)"/>
    <b v="1"/>
    <x v="0"/>
    <s v="NA"/>
    <s v="Hors GES"/>
    <s v="Préparation des services de secours"/>
    <s v="Marginal"/>
    <x v="0"/>
    <b v="1"/>
    <m/>
    <n v="3"/>
    <m/>
    <m/>
    <m/>
    <m/>
    <x v="1"/>
    <x v="3"/>
  </r>
  <r>
    <s v="Produire"/>
    <x v="1"/>
    <x v="1"/>
    <m/>
    <m/>
    <m/>
    <m/>
    <m/>
    <m/>
    <s v="Résilience des services de communication"/>
    <s v="A définir_x000a_- Nombre de coupures de communications électroniques affectant plus de 1 000 foyers par rapport à une zone géographique de plus de XX km² pendant plus de 4 heures_x000a_- Nombre de coupures des services support des appels d’urgence affectant plus de 100 foyers par rapport à une zone géographique de plus de XX km² pendant plus de 4 heures_x000a_- Temps de rétablissement moyen des services support des appels d’urgence _x000a_- Temps de rétablissement moyen des services de communications électroniques"/>
    <s v="-"/>
    <s v="Aménagement et organisations"/>
    <m/>
    <m/>
    <m/>
    <m/>
    <m/>
    <m/>
    <n v="3"/>
    <m/>
    <m/>
    <s v="Résilience services de com."/>
    <s v="Services de com."/>
    <m/>
    <b v="0"/>
    <x v="1"/>
    <s v="NA"/>
    <s v="Hors GES"/>
    <s v="Absent"/>
    <s v="Adaptation"/>
    <x v="1"/>
    <b v="1"/>
    <m/>
    <n v="3"/>
    <m/>
    <m/>
    <m/>
    <m/>
    <x v="1"/>
    <x v="3"/>
  </r>
  <r>
    <s v="Transverse"/>
    <x v="1"/>
    <x v="1"/>
    <m/>
    <m/>
    <m/>
    <m/>
    <m/>
    <m/>
    <s v="Réduction de la vulnérabilité des infrastructures et services de transport"/>
    <s v="A définir_x000a_Nombre de Régions ayant mis en place une gouvernance pour l’adaptation des transports au changement climatique"/>
    <s v="-"/>
    <s v="Aménagement et organisations"/>
    <m/>
    <m/>
    <m/>
    <m/>
    <m/>
    <m/>
    <n v="3"/>
    <m/>
    <m/>
    <s v="Résilience des mobilités"/>
    <s v="Mobi. résiliente"/>
    <s v="Réduction de la vulnérabilité au changement climatique, verdissement des pratiques de construction et exploitation des infrastructures routières"/>
    <b v="0"/>
    <x v="0"/>
    <s v="NA"/>
    <s v="Hors GES"/>
    <s v="Réduction de la vulnérabilité des infrastructures et services de transport"/>
    <s v="Marginal"/>
    <x v="0"/>
    <b v="1"/>
    <m/>
    <n v="3"/>
    <m/>
    <m/>
    <m/>
    <m/>
    <x v="1"/>
    <x v="3"/>
  </r>
  <r>
    <s v="Se déplacer"/>
    <x v="1"/>
    <x v="1"/>
    <m/>
    <m/>
    <m/>
    <m/>
    <m/>
    <m/>
    <s v="Confort thermique des transports collectifs et des mobilités actives"/>
    <s v="A définir "/>
    <s v="-"/>
    <s v="Aménagement et organisations"/>
    <m/>
    <m/>
    <m/>
    <m/>
    <m/>
    <m/>
    <n v="3"/>
    <m/>
    <m/>
    <s v="Confort thermique des transports"/>
    <s v="Confort therm. "/>
    <m/>
    <b v="0"/>
    <x v="0"/>
    <s v="NA"/>
    <s v="Hors GES"/>
    <s v="Confort thermique des transports collectifs et des mobilités actives"/>
    <s v="Marginal"/>
    <x v="0"/>
    <b v="1"/>
    <m/>
    <n v="3"/>
    <m/>
    <m/>
    <m/>
    <m/>
    <x v="1"/>
    <x v="3"/>
  </r>
  <r>
    <s v="Transverse"/>
    <x v="1"/>
    <x v="1"/>
    <m/>
    <m/>
    <m/>
    <m/>
    <m/>
    <m/>
    <s v="Réduction de la vulnérabilité du système énergétique au changement climatique"/>
    <s v="A définir, exemples : _x000a_'- Nombre de kilomètres de lignes dont la température de répartition respectent les nouveaux standards choisis_x000a_- Nombre de kilomètres de câbles CPI HTA remplacés par an et stock de CPI HTA (cible : 85% du stock actuel (21 000 km) remplacés d’ici 2040)_x000a_- Nombre de postes renforcés vis-à-vis du risque d’inondation_x000a_- Linéaire total de fils nus BT (cible : quasi-éradication des fils nuls à horizon 2040)"/>
    <s v="-"/>
    <s v="Aménagement et organisations"/>
    <m/>
    <m/>
    <m/>
    <m/>
    <m/>
    <m/>
    <n v="3"/>
    <m/>
    <m/>
    <s v="Résilience des infra. énergétiques"/>
    <s v="Résil. Infra. éner."/>
    <s v="•Développement des réseaux électriques"/>
    <b v="0"/>
    <x v="0"/>
    <s v="NA"/>
    <s v="Hors GES"/>
    <s v="Réduction de la vulnérabilité des infrastructures énergétiques"/>
    <s v="Marginal"/>
    <x v="1"/>
    <b v="1"/>
    <m/>
    <n v="3"/>
    <m/>
    <m/>
    <m/>
    <m/>
    <x v="1"/>
    <x v="3"/>
  </r>
  <r>
    <s v="Produire"/>
    <x v="5"/>
    <x v="34"/>
    <s v="Intégration de la TRACC dans l’ensemble des documents de planification, notamment les PCAET"/>
    <s v="à définir"/>
    <m/>
    <m/>
    <m/>
    <m/>
    <s v="Evolution de l’offre touristique de montagne"/>
    <s v="A préciser_x000a_Nombre de projets accompagnés par le fonds « Avenir Montagnes »"/>
    <s v="-"/>
    <s v="Aménagement et organisations"/>
    <m/>
    <m/>
    <m/>
    <m/>
    <m/>
    <m/>
    <n v="3"/>
    <m/>
    <m/>
    <s v="Offre touristique de montagne"/>
    <s v="Tourisme mont."/>
    <s v="Face à la réduction de l’enneigement et la réduction des ressources en eau, il s’agit de faire évoluer l’aménagement de montagne et notamment l’offre touristique en la diversifiant, pour sortir de l’hyper-dépendance au ski._x000a__x000a_Cette mutation nécessite le développement de projets d’aménagement englobant :_x000a_La mutation des infrastructures de loisirs, notamment la diversification des activités,_x000a_La conciliation des activités de pleine nature avec la protection des espaces protégés,_x000a_La sobriété de l’usage des ressources en eau et du foncier,_x000a_L’évolution de l’offre d’hébergement, _x000a_La rénovation voire la réhabilitation du patrimoine immobilier,_x000a_L’évolution des mobilités."/>
    <b v="0"/>
    <x v="0"/>
    <s v="NA"/>
    <s v="Hors GES"/>
    <s v="Evolution de l’offre touristique de montagne"/>
    <s v="Marginal"/>
    <x v="0"/>
    <b v="1"/>
    <m/>
    <n v="3"/>
    <m/>
    <m/>
    <m/>
    <m/>
    <x v="1"/>
    <x v="3"/>
  </r>
  <r>
    <s v="Produire"/>
    <x v="1"/>
    <x v="1"/>
    <m/>
    <m/>
    <m/>
    <m/>
    <m/>
    <m/>
    <s v="Evolution de l’offre touristique littorale"/>
    <s v="A préciser _x000a_Nombre de plans d’adaptation développés"/>
    <s v="-"/>
    <s v="Aménagement et organisations"/>
    <m/>
    <m/>
    <m/>
    <m/>
    <m/>
    <m/>
    <n v="3"/>
    <m/>
    <m/>
    <s v="Offre touristique littorale"/>
    <s v="Tourisme littoral"/>
    <s v="L’éventuel déplacement des équipements de loisirs (campings, infrastructures…), notamment ceux ne nécessitant pas de proximité avec l’eau,_x000a_La diffusion de mesures de sobriété hydrique, _x000a_La modernisation de l’offre d’hébergement, pour en limiter les impacts environnementaux, l’adapter aux évolutions de la fréquentation et aux évolutions climatiques,_x000a_La diversification de l’offre de loisirs, notamment en soutenant les activités respectueuses du patrimoine naturel et de la biodiversité, et les offres touristiques « 4 saisons »,_x000a_La maîtrise de l’urbanisme et de l’artificialisation."/>
    <b v="0"/>
    <x v="0"/>
    <s v="NA"/>
    <s v="Hors GES"/>
    <s v="Evolution de l’offre touristique littorale"/>
    <s v="Marginal"/>
    <x v="0"/>
    <b v="1"/>
    <m/>
    <n v="3"/>
    <m/>
    <m/>
    <m/>
    <m/>
    <x v="1"/>
    <x v="3"/>
  </r>
  <r>
    <s v="Produire"/>
    <x v="1"/>
    <x v="1"/>
    <m/>
    <m/>
    <m/>
    <m/>
    <m/>
    <m/>
    <s v="Continuité des activités économiques"/>
    <s v="A préciser_x000a_Pourcentage des entreprises cibles disposant d’une étude de vulnérabilité et d’un plan d’adaptation_x000a_"/>
    <s v="-"/>
    <s v="Aménagement et organisations"/>
    <m/>
    <m/>
    <m/>
    <m/>
    <m/>
    <m/>
    <n v="3"/>
    <m/>
    <m/>
    <s v="Continuité activités économiques"/>
    <s v="Continuité éco."/>
    <s v="Le fonctionnement interne des entreprises et les dispositions qu’elles mettent en place pour poursuivre leurs activités en situation de crise (plans de continuité d’activité) _x000a_La qualité et la cohérence de la stratégie d’adaptation de l’entreprise : intégration des risques climatiques dans la prise de décision, diagnostics, objectifs et mesures concrètes mises en place, investissements_x000a_L’adaptation des conditions de travail aux évolutions climatiques chroniques et la protection des salariés en cas de survenance de phénomènes météorologiques exceptionnels,_x000a_Le renforcement de la continuité des chaînes logistiques."/>
    <b v="1"/>
    <x v="0"/>
    <s v="NA"/>
    <s v="Hors GES"/>
    <s v="Continuité des activités économiques locales"/>
    <s v="Marginal"/>
    <x v="0"/>
    <b v="1"/>
    <m/>
    <n v="3"/>
    <m/>
    <m/>
    <m/>
    <m/>
    <x v="1"/>
    <x v="3"/>
  </r>
  <r>
    <s v="Préserver"/>
    <x v="1"/>
    <x v="1"/>
    <m/>
    <m/>
    <m/>
    <m/>
    <m/>
    <m/>
    <s v="Préservation des sites culturels et patrimoniaux"/>
    <s v="A préciser_x000a_Pourcentage annuel des bâtiments de la catégorie concernée ayant réalisé un diagnostic ou des travaux de rénovation thermique et énergétique"/>
    <s v="-"/>
    <s v="Aménagement et organisations"/>
    <m/>
    <m/>
    <m/>
    <m/>
    <m/>
    <m/>
    <n v="3"/>
    <m/>
    <m/>
    <s v="Sites culturels et patrimoniaux"/>
    <s v="Sites culturels"/>
    <s v="Étudier la vulnérabilité des sites culturels et patrimoniaux, en cartographiant les risques climatiques par commune_x000a_Prioriser les sites exposés à des risques spécifiques tels que le recul du trait de côte ou les variations extrêmes de température_x000a_Améliorer l’entretien des sites, parcs, jardins, et bâtiments historiques pour prévenir les impacts climatiques comme l’érosion ou les incendies_x000a_Végétaliser et désimperméabiliser les sites, créer des ilots de fraicheur_x000a_Garantir le confort thermique des usagers des sites culturels_x000a_Enrichir les formations pour sensibiliser les professionnels du patrimoine aux risques climatiques et aux mesures d’adaptation"/>
    <b v="1"/>
    <x v="0"/>
    <s v="NA"/>
    <s v="Hors GES"/>
    <s v="Préservation des sites culturels et patrimoniaux"/>
    <s v="Marginal"/>
    <x v="0"/>
    <b v="1"/>
    <m/>
    <n v="3"/>
    <m/>
    <m/>
    <m/>
    <m/>
    <x v="1"/>
    <x v="3"/>
  </r>
  <r>
    <m/>
    <x v="1"/>
    <x v="1"/>
    <m/>
    <m/>
    <m/>
    <m/>
    <m/>
    <m/>
    <m/>
    <m/>
    <m/>
    <m/>
    <m/>
    <m/>
    <m/>
    <m/>
    <m/>
    <m/>
    <m/>
    <m/>
    <m/>
    <m/>
    <m/>
    <m/>
    <m/>
    <x v="2"/>
    <m/>
    <m/>
    <m/>
    <m/>
    <x v="0"/>
    <m/>
    <m/>
    <m/>
    <m/>
    <m/>
    <m/>
    <m/>
    <x v="4"/>
    <x v="9"/>
  </r>
  <r>
    <m/>
    <x v="1"/>
    <x v="1"/>
    <m/>
    <m/>
    <m/>
    <m/>
    <m/>
    <m/>
    <m/>
    <m/>
    <m/>
    <m/>
    <m/>
    <m/>
    <m/>
    <m/>
    <m/>
    <m/>
    <m/>
    <m/>
    <m/>
    <m/>
    <m/>
    <m/>
    <m/>
    <x v="2"/>
    <m/>
    <m/>
    <m/>
    <m/>
    <x v="0"/>
    <m/>
    <m/>
    <m/>
    <m/>
    <m/>
    <m/>
    <m/>
    <x v="4"/>
    <x v="9"/>
  </r>
  <r>
    <m/>
    <x v="1"/>
    <x v="1"/>
    <m/>
    <m/>
    <m/>
    <s v="Emissions de gaz à effet serre des 50 sites très émetteurs hors raffinage"/>
    <m/>
    <m/>
    <m/>
    <m/>
    <m/>
    <m/>
    <m/>
    <m/>
    <m/>
    <m/>
    <m/>
    <m/>
    <m/>
    <m/>
    <m/>
    <m/>
    <m/>
    <m/>
    <m/>
    <x v="2"/>
    <m/>
    <m/>
    <m/>
    <m/>
    <x v="0"/>
    <m/>
    <m/>
    <m/>
    <m/>
    <m/>
    <m/>
    <m/>
    <x v="4"/>
    <x v="9"/>
  </r>
  <r>
    <m/>
    <x v="1"/>
    <x v="1"/>
    <m/>
    <m/>
    <m/>
    <s v="Emissions de gaz à effet serre du secteur de la métallurgie des métaux ferreux"/>
    <m/>
    <m/>
    <m/>
    <m/>
    <m/>
    <m/>
    <m/>
    <m/>
    <m/>
    <m/>
    <m/>
    <m/>
    <m/>
    <m/>
    <m/>
    <m/>
    <m/>
    <m/>
    <m/>
    <x v="2"/>
    <m/>
    <m/>
    <m/>
    <m/>
    <x v="0"/>
    <m/>
    <m/>
    <m/>
    <m/>
    <m/>
    <m/>
    <m/>
    <x v="4"/>
    <x v="9"/>
  </r>
  <r>
    <m/>
    <x v="1"/>
    <x v="1"/>
    <m/>
    <m/>
    <m/>
    <s v="Emissions de gaz à effet serre du secteur de la chimie"/>
    <m/>
    <m/>
    <m/>
    <m/>
    <m/>
    <m/>
    <m/>
    <m/>
    <m/>
    <m/>
    <m/>
    <m/>
    <m/>
    <m/>
    <m/>
    <m/>
    <m/>
    <m/>
    <m/>
    <x v="2"/>
    <m/>
    <m/>
    <m/>
    <m/>
    <x v="0"/>
    <m/>
    <m/>
    <m/>
    <m/>
    <m/>
    <m/>
    <m/>
    <x v="4"/>
    <x v="9"/>
  </r>
  <r>
    <m/>
    <x v="1"/>
    <x v="1"/>
    <m/>
    <m/>
    <m/>
    <s v="Emissions de gaz à effet de serre du secteur des minéraux non métalliques et matériaux de construction"/>
    <m/>
    <m/>
    <m/>
    <m/>
    <m/>
    <m/>
    <m/>
    <m/>
    <m/>
    <m/>
    <m/>
    <m/>
    <m/>
    <m/>
    <m/>
    <m/>
    <m/>
    <m/>
    <m/>
    <x v="2"/>
    <m/>
    <m/>
    <m/>
    <m/>
    <x v="0"/>
    <m/>
    <m/>
    <m/>
    <m/>
    <m/>
    <m/>
    <m/>
    <x v="4"/>
    <x v="9"/>
  </r>
  <r>
    <m/>
    <x v="1"/>
    <x v="1"/>
    <m/>
    <m/>
    <m/>
    <s v="Emissions de gaz à effet de serre du secteur agroalimentaire"/>
    <m/>
    <m/>
    <m/>
    <m/>
    <m/>
    <m/>
    <m/>
    <m/>
    <m/>
    <m/>
    <m/>
    <m/>
    <m/>
    <m/>
    <m/>
    <m/>
    <m/>
    <m/>
    <m/>
    <x v="2"/>
    <m/>
    <m/>
    <m/>
    <m/>
    <x v="0"/>
    <m/>
    <m/>
    <m/>
    <m/>
    <m/>
    <m/>
    <m/>
    <x v="4"/>
    <x v="9"/>
  </r>
  <r>
    <m/>
    <x v="1"/>
    <x v="1"/>
    <m/>
    <m/>
    <m/>
    <s v="Intensité carbone de la production"/>
    <m/>
    <m/>
    <m/>
    <m/>
    <m/>
    <m/>
    <m/>
    <m/>
    <m/>
    <m/>
    <m/>
    <m/>
    <m/>
    <m/>
    <m/>
    <m/>
    <m/>
    <m/>
    <m/>
    <x v="2"/>
    <m/>
    <m/>
    <m/>
    <m/>
    <x v="0"/>
    <m/>
    <m/>
    <m/>
    <m/>
    <m/>
    <m/>
    <m/>
    <x v="4"/>
    <x v="9"/>
  </r>
  <r>
    <m/>
    <x v="1"/>
    <x v="1"/>
    <m/>
    <m/>
    <m/>
    <m/>
    <m/>
    <m/>
    <m/>
    <m/>
    <m/>
    <m/>
    <m/>
    <m/>
    <m/>
    <m/>
    <m/>
    <m/>
    <m/>
    <m/>
    <m/>
    <m/>
    <m/>
    <m/>
    <m/>
    <x v="2"/>
    <m/>
    <m/>
    <m/>
    <m/>
    <x v="0"/>
    <m/>
    <m/>
    <m/>
    <m/>
    <m/>
    <m/>
    <m/>
    <x v="4"/>
    <x v="9"/>
  </r>
  <r>
    <m/>
    <x v="1"/>
    <x v="1"/>
    <m/>
    <m/>
    <m/>
    <m/>
    <m/>
    <m/>
    <m/>
    <m/>
    <m/>
    <m/>
    <m/>
    <m/>
    <m/>
    <m/>
    <m/>
    <m/>
    <m/>
    <m/>
    <m/>
    <m/>
    <m/>
    <m/>
    <m/>
    <x v="2"/>
    <m/>
    <m/>
    <m/>
    <m/>
    <x v="0"/>
    <m/>
    <m/>
    <m/>
    <m/>
    <m/>
    <m/>
    <m/>
    <x v="4"/>
    <x v="9"/>
  </r>
  <r>
    <m/>
    <x v="1"/>
    <x v="1"/>
    <m/>
    <m/>
    <m/>
    <m/>
    <m/>
    <m/>
    <m/>
    <m/>
    <m/>
    <m/>
    <m/>
    <m/>
    <m/>
    <m/>
    <m/>
    <m/>
    <m/>
    <m/>
    <m/>
    <m/>
    <m/>
    <m/>
    <m/>
    <x v="2"/>
    <m/>
    <m/>
    <m/>
    <m/>
    <x v="0"/>
    <m/>
    <m/>
    <m/>
    <m/>
    <m/>
    <m/>
    <m/>
    <x v="4"/>
    <x v="9"/>
  </r>
  <r>
    <m/>
    <x v="1"/>
    <x v="1"/>
    <m/>
    <m/>
    <m/>
    <m/>
    <m/>
    <m/>
    <m/>
    <m/>
    <m/>
    <m/>
    <m/>
    <m/>
    <m/>
    <m/>
    <m/>
    <m/>
    <m/>
    <m/>
    <m/>
    <m/>
    <m/>
    <m/>
    <m/>
    <x v="2"/>
    <m/>
    <m/>
    <m/>
    <m/>
    <x v="0"/>
    <m/>
    <m/>
    <m/>
    <m/>
    <m/>
    <m/>
    <m/>
    <x v="4"/>
    <x v="9"/>
  </r>
  <r>
    <m/>
    <x v="1"/>
    <x v="1"/>
    <m/>
    <m/>
    <m/>
    <m/>
    <m/>
    <m/>
    <m/>
    <m/>
    <m/>
    <m/>
    <m/>
    <m/>
    <m/>
    <m/>
    <m/>
    <m/>
    <m/>
    <m/>
    <m/>
    <m/>
    <m/>
    <m/>
    <m/>
    <x v="2"/>
    <m/>
    <m/>
    <m/>
    <m/>
    <x v="0"/>
    <m/>
    <m/>
    <m/>
    <m/>
    <m/>
    <m/>
    <m/>
    <x v="4"/>
    <x v="9"/>
  </r>
  <r>
    <m/>
    <x v="1"/>
    <x v="1"/>
    <m/>
    <m/>
    <m/>
    <m/>
    <m/>
    <m/>
    <m/>
    <m/>
    <m/>
    <m/>
    <m/>
    <m/>
    <m/>
    <m/>
    <m/>
    <m/>
    <m/>
    <m/>
    <m/>
    <m/>
    <m/>
    <m/>
    <m/>
    <x v="2"/>
    <m/>
    <m/>
    <m/>
    <m/>
    <x v="0"/>
    <m/>
    <m/>
    <m/>
    <m/>
    <m/>
    <m/>
    <m/>
    <x v="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8C0C4-2F7F-4B65-A90A-8BAC3A8E753F}" name="Tableau croisé dynamique1" cacheId="4" dataOnRows="1" applyNumberFormats="0" applyBorderFormats="0" applyFontFormats="0" applyPatternFormats="0" applyAlignmentFormats="0" applyWidthHeightFormats="1" dataCaption="Valeurs" updatedVersion="8" minRefreshableVersion="3" useAutoFormatting="1" itemPrintTitles="1" createdVersion="6" indent="0" outline="1" outlineData="1" multipleFieldFilters="0" chartFormat="76">
  <location ref="A4:D12" firstHeaderRow="1" firstDataRow="3" firstDataCol="1" rowPageCount="2" colPageCount="1"/>
  <pivotFields count="16">
    <pivotField showAll="0"/>
    <pivotField axis="axisPage" showAll="0">
      <items count="4">
        <item x="1"/>
        <item x="0"/>
        <item x="2"/>
        <item t="default"/>
      </items>
    </pivotField>
    <pivotField showAll="0" defaultSubtotal="0"/>
    <pivotField showAll="0" defaultSubtotal="0"/>
    <pivotField showAll="0" defaultSubtotal="0"/>
    <pivotField showAll="0" defaultSubtotal="0"/>
    <pivotField showAll="0" defaultSubtotal="0"/>
    <pivotField axis="axisPage" showAll="0">
      <items count="4">
        <item x="1"/>
        <item x="0"/>
        <item x="2"/>
        <item t="default"/>
      </items>
    </pivotField>
    <pivotField dataField="1" showAll="0" defaultSubtotal="0"/>
    <pivotField dataField="1" showAll="0"/>
    <pivotField dataField="1" showAll="0"/>
    <pivotField dataField="1" showAll="0"/>
    <pivotField dataField="1" showAll="0"/>
    <pivotField dataField="1" showAll="0"/>
    <pivotField axis="axisCol" showAll="0" defaultSubtotal="0">
      <items count="8">
        <item m="1" x="6"/>
        <item x="1"/>
        <item x="0"/>
        <item x="2"/>
        <item x="3"/>
        <item x="4"/>
        <item m="1" x="5"/>
        <item m="1" x="7"/>
      </items>
    </pivotField>
    <pivotField axis="axisCol" showAll="0" defaultSubtotal="0">
      <items count="4">
        <item x="1"/>
        <item n="Leviers mono-enjeu" sd="0" x="0"/>
        <item n="Leviers multi-enjeux" sd="0" x="3"/>
        <item x="2"/>
      </items>
    </pivotField>
  </pivotFields>
  <rowFields count="1">
    <field x="-2"/>
  </rowFields>
  <rowItems count="6">
    <i>
      <x/>
    </i>
    <i i="1">
      <x v="1"/>
    </i>
    <i i="2">
      <x v="2"/>
    </i>
    <i i="3">
      <x v="3"/>
    </i>
    <i i="4">
      <x v="4"/>
    </i>
    <i i="5">
      <x v="5"/>
    </i>
  </rowItems>
  <colFields count="2">
    <field x="15"/>
    <field x="14"/>
  </colFields>
  <colItems count="3">
    <i>
      <x v="1"/>
    </i>
    <i>
      <x v="2"/>
    </i>
    <i t="grand">
      <x/>
    </i>
  </colItems>
  <pageFields count="2">
    <pageField fld="1" hier="-1"/>
    <pageField fld="7" item="1" hier="-1"/>
  </pageFields>
  <dataFields count="6">
    <dataField name="Atténuation (nationale) " fld="8" subtotal="count" baseField="0" baseItem="0"/>
    <dataField name="Adaptation " fld="9" subtotal="count" baseField="0" baseItem="0"/>
    <dataField name="Eau " fld="10" subtotal="count" baseField="0" baseItem="0"/>
    <dataField name="Economie circulaire" fld="11" subtotal="count" baseField="0" baseItem="0"/>
    <dataField name="Pollution / santé " fld="12" subtotal="count" baseField="0" baseItem="0"/>
    <dataField name="Biodiversité " fld="13" subtotal="count" baseField="0" baseItem="0"/>
  </dataFields>
  <chartFormats count="4">
    <chartFormat chart="2" format="56" series="1">
      <pivotArea type="data" outline="0" fieldPosition="0">
        <references count="3">
          <reference field="4294967294" count="1" selected="0">
            <x v="0"/>
          </reference>
          <reference field="14" count="1" selected="0">
            <x v="5"/>
          </reference>
          <reference field="15" count="1" selected="0">
            <x v="3"/>
          </reference>
        </references>
      </pivotArea>
    </chartFormat>
    <chartFormat chart="2" format="57" series="1">
      <pivotArea type="data" outline="0" fieldPosition="0">
        <references count="2">
          <reference field="4294967294" count="1" selected="0">
            <x v="0"/>
          </reference>
          <reference field="15" count="1" selected="0">
            <x v="1"/>
          </reference>
        </references>
      </pivotArea>
    </chartFormat>
    <chartFormat chart="2" format="58" series="1">
      <pivotArea type="data" outline="0" fieldPosition="0">
        <references count="2">
          <reference field="4294967294" count="1" selected="0">
            <x v="0"/>
          </reference>
          <reference field="15" count="1" selected="0">
            <x v="2"/>
          </reference>
        </references>
      </pivotArea>
    </chartFormat>
    <chartFormat chart="2" format="59" series="1">
      <pivotArea type="data" outline="0" fieldPosition="0">
        <references count="3">
          <reference field="4294967294" count="1" selected="0">
            <x v="0"/>
          </reference>
          <reference field="14" count="1" selected="0">
            <x v="4"/>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Tableau croisé dynamique5" cacheId="5" dataOnRows="1" applyNumberFormats="0" applyBorderFormats="0" applyFontFormats="0" applyPatternFormats="0" applyAlignmentFormats="0" applyWidthHeightFormats="1" dataCaption="Valeurs" updatedVersion="8" minRefreshableVersion="3" useAutoFormatting="1" itemPrintTitles="1" createdVersion="6" indent="0" outline="1" outlineData="1" multipleFieldFilters="0" chartFormat="38">
  <location ref="A43:E55" firstHeaderRow="1" firstDataRow="2" firstDataCol="1" rowPageCount="1" colPageCount="1"/>
  <pivotFields count="42">
    <pivotField showAll="0" defaultSubtotal="0"/>
    <pivotField showAll="0"/>
    <pivotField showAll="0" defaultSubtotal="0"/>
    <pivotField showAll="0"/>
    <pivotField showAll="0"/>
    <pivotField showAll="0"/>
    <pivotField showAll="0"/>
    <pivotField showAll="0"/>
    <pivotField showAll="0" defaultSubtotal="0"/>
    <pivotField dataField="1"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axis="axisCol" showAll="0" defaultSubtotal="0">
      <items count="3">
        <item x="0"/>
        <item x="1"/>
        <item x="2"/>
      </items>
    </pivotField>
    <pivotField showAll="0" defaultSubtotal="0"/>
    <pivotField showAll="0" defaultSubtotal="0"/>
    <pivotField showAll="0" defaultSubtotal="0"/>
    <pivotField showAll="0" defaultSubtotal="0"/>
    <pivotField axis="axisPage" showAll="0" defaultSubtotal="0">
      <items count="3">
        <item n="Nouveau" x="2"/>
        <item n="Existant" x="0"/>
        <item x="1"/>
      </items>
    </pivotField>
    <pivotField showAll="0"/>
    <pivotField showAll="0" defaultSubtotal="0"/>
    <pivotField showAll="0"/>
    <pivotField showAll="0"/>
    <pivotField showAll="0"/>
    <pivotField showAll="0"/>
    <pivotField showAll="0"/>
    <pivotField showAll="0" defaultSubtotal="0">
      <items count="8">
        <item m="1" x="6"/>
        <item x="1"/>
        <item x="0"/>
        <item x="2"/>
        <item x="3"/>
        <item x="4"/>
        <item m="1" x="5"/>
        <item m="1" x="7"/>
      </items>
    </pivotField>
    <pivotField axis="axisRow" showAll="0" defaultSubtotal="0">
      <items count="16">
        <item x="3"/>
        <item m="1" x="15"/>
        <item x="5"/>
        <item m="1" x="14"/>
        <item x="8"/>
        <item x="6"/>
        <item x="2"/>
        <item m="1" x="11"/>
        <item m="1" x="12"/>
        <item x="9"/>
        <item x="0"/>
        <item m="1" x="13"/>
        <item x="7"/>
        <item x="1"/>
        <item x="4"/>
        <item m="1" x="10"/>
      </items>
    </pivotField>
    <pivotField showAll="0" defaultSubtotal="0">
      <items count="4">
        <item x="1"/>
        <item n="Leviers mono-enjeu" sd="0" x="0"/>
        <item n="Leviers multi-enjeux" sd="0" x="3"/>
        <item x="2"/>
      </items>
    </pivotField>
  </pivotFields>
  <rowFields count="1">
    <field x="40"/>
  </rowFields>
  <rowItems count="11">
    <i>
      <x/>
    </i>
    <i>
      <x v="2"/>
    </i>
    <i>
      <x v="4"/>
    </i>
    <i>
      <x v="5"/>
    </i>
    <i>
      <x v="6"/>
    </i>
    <i>
      <x v="9"/>
    </i>
    <i>
      <x v="10"/>
    </i>
    <i>
      <x v="12"/>
    </i>
    <i>
      <x v="13"/>
    </i>
    <i>
      <x v="14"/>
    </i>
    <i t="grand">
      <x/>
    </i>
  </rowItems>
  <colFields count="1">
    <field x="26"/>
  </colFields>
  <colItems count="4">
    <i>
      <x/>
    </i>
    <i>
      <x v="1"/>
    </i>
    <i>
      <x v="2"/>
    </i>
    <i t="grand">
      <x/>
    </i>
  </colItems>
  <pageFields count="1">
    <pageField fld="31" hier="-1"/>
  </pageFields>
  <dataFields count="1">
    <dataField name="Nombre de Levier" fld="9" subtotal="count" baseField="0" baseItem="0"/>
  </dataFields>
  <chartFormats count="12">
    <chartFormat chart="35" format="0" series="1">
      <pivotArea type="data" outline="0" fieldPosition="0">
        <references count="2">
          <reference field="4294967294" count="1" selected="0">
            <x v="0"/>
          </reference>
          <reference field="26" count="1" selected="0">
            <x v="1"/>
          </reference>
        </references>
      </pivotArea>
    </chartFormat>
    <chartFormat chart="35" format="1" series="1">
      <pivotArea type="data" outline="0" fieldPosition="0">
        <references count="2">
          <reference field="4294967294" count="1" selected="0">
            <x v="0"/>
          </reference>
          <reference field="26" count="1" selected="0">
            <x v="0"/>
          </reference>
        </references>
      </pivotArea>
    </chartFormat>
    <chartFormat chart="36" format="2" series="1">
      <pivotArea type="data" outline="0" fieldPosition="0">
        <references count="2">
          <reference field="4294967294" count="1" selected="0">
            <x v="0"/>
          </reference>
          <reference field="26" count="1" selected="0">
            <x v="0"/>
          </reference>
        </references>
      </pivotArea>
    </chartFormat>
    <chartFormat chart="36" format="3" series="1">
      <pivotArea type="data" outline="0" fieldPosition="0">
        <references count="2">
          <reference field="4294967294" count="1" selected="0">
            <x v="0"/>
          </reference>
          <reference field="26" count="1" selected="0">
            <x v="1"/>
          </reference>
        </references>
      </pivotArea>
    </chartFormat>
    <chartFormat chart="37" format="4" series="1">
      <pivotArea type="data" outline="0" fieldPosition="0">
        <references count="2">
          <reference field="4294967294" count="1" selected="0">
            <x v="0"/>
          </reference>
          <reference field="26" count="1" selected="0">
            <x v="0"/>
          </reference>
        </references>
      </pivotArea>
    </chartFormat>
    <chartFormat chart="37" format="5" series="1">
      <pivotArea type="data" outline="0" fieldPosition="0">
        <references count="2">
          <reference field="4294967294" count="1" selected="0">
            <x v="0"/>
          </reference>
          <reference field="26" count="1" selected="0">
            <x v="1"/>
          </reference>
        </references>
      </pivotArea>
    </chartFormat>
    <chartFormat chart="35" format="2" series="1">
      <pivotArea type="data" outline="0" fieldPosition="0">
        <references count="3">
          <reference field="4294967294" count="1" selected="0">
            <x v="0"/>
          </reference>
          <reference field="26" count="1" selected="0">
            <x v="2"/>
          </reference>
          <reference field="31" count="1" selected="0">
            <x v="0"/>
          </reference>
        </references>
      </pivotArea>
    </chartFormat>
    <chartFormat chart="35" format="6" series="1">
      <pivotArea type="data" outline="0" fieldPosition="0">
        <references count="3">
          <reference field="4294967294" count="1" selected="0">
            <x v="0"/>
          </reference>
          <reference field="26" count="1" selected="0">
            <x v="1"/>
          </reference>
          <reference field="31" count="1" selected="0">
            <x v="0"/>
          </reference>
        </references>
      </pivotArea>
    </chartFormat>
    <chartFormat chart="35" format="7" series="1">
      <pivotArea type="data" outline="0" fieldPosition="0">
        <references count="3">
          <reference field="4294967294" count="1" selected="0">
            <x v="0"/>
          </reference>
          <reference field="26" count="1" selected="0">
            <x v="0"/>
          </reference>
          <reference field="31" count="1" selected="0">
            <x v="1"/>
          </reference>
        </references>
      </pivotArea>
    </chartFormat>
    <chartFormat chart="35" format="8" series="1">
      <pivotArea type="data" outline="0" fieldPosition="0">
        <references count="3">
          <reference field="4294967294" count="1" selected="0">
            <x v="0"/>
          </reference>
          <reference field="26" count="1" selected="0">
            <x v="1"/>
          </reference>
          <reference field="31" count="1" selected="0">
            <x v="1"/>
          </reference>
        </references>
      </pivotArea>
    </chartFormat>
    <chartFormat chart="35" format="9" series="1">
      <pivotArea type="data" outline="0" fieldPosition="0">
        <references count="3">
          <reference field="4294967294" count="1" selected="0">
            <x v="0"/>
          </reference>
          <reference field="26" count="1" selected="0">
            <x v="0"/>
          </reference>
          <reference field="31" count="1" selected="0">
            <x v="2"/>
          </reference>
        </references>
      </pivotArea>
    </chartFormat>
    <chartFormat chart="35" format="10" series="1">
      <pivotArea type="data" outline="0" fieldPosition="0">
        <references count="3">
          <reference field="4294967294" count="1" selected="0">
            <x v="0"/>
          </reference>
          <reference field="26" count="1" selected="0">
            <x v="1"/>
          </reference>
          <reference field="3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77F854-F4DB-4333-A2DB-A54709681E7F}" name="Tableau croisé dynamique2" cacheId="5" applyNumberFormats="0" applyBorderFormats="0" applyFontFormats="0" applyPatternFormats="0" applyAlignmentFormats="0" applyWidthHeightFormats="1" dataCaption="Valeurs" updatedVersion="8" minRefreshableVersion="3" useAutoFormatting="1" itemPrintTitles="1" createdVersion="6" indent="0" compact="0" compactData="0" multipleFieldFilters="0" chartFormat="37">
  <location ref="K4:L40" firstHeaderRow="1" firstDataRow="1" firstDataCol="2"/>
  <pivotFields count="42">
    <pivotField compact="0" outline="0" showAll="0"/>
    <pivotField axis="axisRow" compact="0" outline="0" showAll="0" sortType="ascending" defaultSubtotal="0">
      <items count="13">
        <item m="1" x="11"/>
        <item x="7"/>
        <item x="9"/>
        <item x="2"/>
        <item m="1" x="10"/>
        <item x="8"/>
        <item x="3"/>
        <item x="4"/>
        <item m="1" x="12"/>
        <item x="6"/>
        <item x="0"/>
        <item x="5"/>
        <item x="1"/>
      </items>
    </pivotField>
    <pivotField axis="axisRow" compact="0" outline="0" showAll="0" sortType="ascending">
      <items count="38">
        <item x="7"/>
        <item x="10"/>
        <item x="27"/>
        <item x="34"/>
        <item x="21"/>
        <item x="15"/>
        <item x="14"/>
        <item x="23"/>
        <item x="17"/>
        <item x="20"/>
        <item x="9"/>
        <item x="22"/>
        <item x="11"/>
        <item x="32"/>
        <item m="1" x="36"/>
        <item x="28"/>
        <item x="12"/>
        <item x="29"/>
        <item x="31"/>
        <item m="1" x="35"/>
        <item x="13"/>
        <item x="19"/>
        <item x="30"/>
        <item x="4"/>
        <item x="16"/>
        <item x="26"/>
        <item x="18"/>
        <item x="0"/>
        <item x="25"/>
        <item x="8"/>
        <item x="33"/>
        <item x="24"/>
        <item x="3"/>
        <item x="6"/>
        <item x="2"/>
        <item x="5"/>
        <item x="1"/>
        <item t="default"/>
      </items>
    </pivotField>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9">
        <item m="1" x="6"/>
        <item x="1"/>
        <item x="0"/>
        <item x="2"/>
        <item x="3"/>
        <item m="1" x="5"/>
        <item m="1" x="7"/>
        <item x="4"/>
        <item t="default"/>
      </items>
    </pivotField>
    <pivotField compact="0" outline="0" showAll="0"/>
    <pivotField compact="0" outline="0" showAll="0">
      <items count="5">
        <item x="0"/>
        <item x="1"/>
        <item x="2"/>
        <item x="3"/>
        <item t="default"/>
      </items>
    </pivotField>
  </pivotFields>
  <rowFields count="2">
    <field x="1"/>
    <field x="2"/>
  </rowFields>
  <rowItems count="36">
    <i>
      <x v="1"/>
      <x v="4"/>
    </i>
    <i r="1">
      <x v="7"/>
    </i>
    <i r="1">
      <x v="9"/>
    </i>
    <i r="1">
      <x v="11"/>
    </i>
    <i r="1">
      <x v="21"/>
    </i>
    <i r="1">
      <x v="31"/>
    </i>
    <i>
      <x v="2"/>
      <x v="13"/>
    </i>
    <i r="1">
      <x v="18"/>
    </i>
    <i>
      <x v="3"/>
      <x/>
    </i>
    <i r="1">
      <x v="10"/>
    </i>
    <i r="1">
      <x v="29"/>
    </i>
    <i>
      <x v="5"/>
      <x v="17"/>
    </i>
    <i r="1">
      <x v="22"/>
    </i>
    <i r="1">
      <x v="25"/>
    </i>
    <i r="1">
      <x v="28"/>
    </i>
    <i>
      <x v="6"/>
      <x v="1"/>
    </i>
    <i r="1">
      <x v="12"/>
    </i>
    <i r="1">
      <x v="16"/>
    </i>
    <i>
      <x v="7"/>
      <x v="5"/>
    </i>
    <i r="1">
      <x v="6"/>
    </i>
    <i r="1">
      <x v="20"/>
    </i>
    <i>
      <x v="9"/>
      <x v="2"/>
    </i>
    <i r="1">
      <x v="15"/>
    </i>
    <i r="1">
      <x v="26"/>
    </i>
    <i r="1">
      <x v="30"/>
    </i>
    <i>
      <x v="10"/>
      <x v="23"/>
    </i>
    <i r="1">
      <x v="27"/>
    </i>
    <i r="1">
      <x v="32"/>
    </i>
    <i r="1">
      <x v="33"/>
    </i>
    <i r="1">
      <x v="34"/>
    </i>
    <i r="1">
      <x v="35"/>
    </i>
    <i>
      <x v="11"/>
      <x v="3"/>
    </i>
    <i r="1">
      <x v="8"/>
    </i>
    <i r="1">
      <x v="24"/>
    </i>
    <i>
      <x v="12"/>
      <x v="3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50991E-064D-4233-A551-889C3E3B9267}" name="Tableau14" displayName="Tableau14" ref="A1:V13" headerRowDxfId="40">
  <autoFilter ref="A1:V13" xr:uid="{00000000-0009-0000-0100-000001000000}"/>
  <tableColumns count="22">
    <tableColumn id="8" xr3:uid="{CDF8DC78-63CF-47AA-9AAE-336F4D2D8D7E}" name="Axe" dataDxfId="38" totalsRowDxfId="39"/>
    <tableColumn id="9" xr3:uid="{01E2A09D-ECAD-4488-A851-1E45F330C6EF}" name="Thème" dataDxfId="36" totalsRowDxfId="37"/>
    <tableColumn id="2" xr3:uid="{4BD684D1-5C83-4F2B-AD1C-9314C7D8D669}" name="Engagements" dataDxfId="34" totalsRowDxfId="35"/>
    <tableColumn id="21" xr3:uid="{D4D8E40D-6E83-491D-AE3B-1FF8CDE9CAED}" name="Référence légale (FR)" dataDxfId="32" totalsRowDxfId="33"/>
    <tableColumn id="10" xr3:uid="{46466FC1-7A63-4440-BF33-C312B7AB19F6}" name="Référence planification" dataDxfId="30" totalsRowDxfId="31"/>
    <tableColumn id="1" xr3:uid="{5C6A6429-F65C-4C61-91A2-BA61A56A902D}" name="Objectif contraignant" dataDxfId="28" totalsRowDxfId="29"/>
    <tableColumn id="4" xr3:uid="{20A0DF3B-96C6-494C-829D-29DB8AD84687}" name="Indicateur baromètre" dataDxfId="27"/>
    <tableColumn id="31" xr3:uid="{D89B6BCD-ED62-4486-A6D9-28EDE8A36C64}" name="ID grist" dataDxfId="26"/>
    <tableColumn id="20" xr3:uid="{10333955-0D7B-4047-96D8-7F4CEA17F03C}" name="Autres indicateurs baromètre" dataDxfId="25"/>
    <tableColumn id="30" xr3:uid="{F18E5296-C9CC-4AB5-A3E8-56BE31035DF5}" name="Autres ID grist" dataDxfId="24"/>
    <tableColumn id="5" xr3:uid="{1B28C9F6-40E2-41EA-8E24-79E0B9BEF5CF}" name="Transports2" dataDxfId="22" totalsRowDxfId="23"/>
    <tableColumn id="6" xr3:uid="{759C9828-38FC-45BD-904E-E8843DD1CE6F}" name="Agriculture2" dataDxfId="20" totalsRowDxfId="21"/>
    <tableColumn id="7" xr3:uid="{C925D1B4-94E5-4192-98FE-8B28E8805295}" name="Bâtiment" dataDxfId="18" totalsRowDxfId="19"/>
    <tableColumn id="11" xr3:uid="{654599DC-7C69-4251-8511-523A15014BAE}" name="Industrie2" dataDxfId="16" totalsRowDxfId="17"/>
    <tableColumn id="12" xr3:uid="{9594C08C-F6AC-418F-854E-F6F827DF8989}" name="Energie" dataDxfId="14" totalsRowDxfId="15"/>
    <tableColumn id="13" xr3:uid="{442C7976-BC54-4840-A25E-2CFE20B8CB5B}" name="Ecosystèmes2" dataDxfId="12" totalsRowDxfId="13"/>
    <tableColumn id="14" xr3:uid="{A4BD790C-CB15-44AA-9625-F69C00AD3BAD}" name="Economie circulaire" dataDxfId="10" totalsRowDxfId="11"/>
    <tableColumn id="15" xr3:uid="{E6238B20-E244-4240-8AE8-ECC97ACADD88}" name="Territoires" dataDxfId="8" totalsRowDxfId="9"/>
    <tableColumn id="18" xr3:uid="{C902745F-E3D8-45F3-AA6E-3E37CF7136D9}" name="Contributions positives à l'ambition" dataDxfId="6" totalsRowDxfId="7"/>
    <tableColumn id="17" xr3:uid="{297F9796-A2A2-47BD-A0D1-C5B17134C6B5}" name="Contributions négatives à l'ambition" dataDxfId="4" totalsRowDxfId="5"/>
    <tableColumn id="3" xr3:uid="{38D08B41-7251-4758-B0AC-F4999E076ECA}" name="Estimation chiffrée de l'impact global" dataDxfId="2" totalsRowDxfId="3"/>
    <tableColumn id="19" xr3:uid="{6C0F2F1F-22F3-44F0-9519-7B248F10C8CF}" name="Indicateur de quantification de l'impact" dataDxfId="0" totalsRow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I3" headerRowDxfId="90">
  <autoFilter ref="A1:I3" xr:uid="{00000000-0009-0000-0100-000001000000}"/>
  <tableColumns count="9">
    <tableColumn id="8" xr3:uid="{00000000-0010-0000-0000-000008000000}" name="Axe" dataDxfId="89" totalsRowDxfId="88"/>
    <tableColumn id="9" xr3:uid="{00000000-0010-0000-0000-000009000000}" name="Thème" dataDxfId="87" totalsRowDxfId="86"/>
    <tableColumn id="2" xr3:uid="{00000000-0010-0000-0000-000002000000}" name="Engagements" dataDxfId="85" totalsRowDxfId="84"/>
    <tableColumn id="21" xr3:uid="{F866611E-680B-45B6-94F1-D9D1765B62E1}" name="Référence légale (FR)" dataDxfId="83" totalsRowDxfId="82"/>
    <tableColumn id="10" xr3:uid="{00000000-0010-0000-0000-00000A000000}" name="Référence planification" dataDxfId="81" totalsRowDxfId="80"/>
    <tableColumn id="1" xr3:uid="{BA42E4F2-3495-4BA0-8671-4A898BE524B7}" name="Objectif contraignant" dataDxfId="79" totalsRowDxfId="78"/>
    <tableColumn id="23" xr3:uid="{96F20331-1F0F-4CE0-BFE5-7D357EBFF522}" name="Déclinaison sectorielle &gt;&gt;" dataDxfId="77" totalsRowDxfId="76"/>
    <tableColumn id="22" xr3:uid="{1DCAF4BE-2E74-483C-A368-B2FD2F00D20C}" name="Transports" dataDxfId="75" totalsRowDxfId="74"/>
    <tableColumn id="36" xr3:uid="{210B9EA3-BCA7-419C-A894-5A57E03D27D9}" name="ID transports" dataDxfId="73" totalsRowDxfId="7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4D6985-A6FC-4901-BA48-62AE0EE204FE}" name="Tableau13" displayName="Tableau13" ref="B1:R13" headerRowDxfId="71">
  <autoFilter ref="B1:R13" xr:uid="{00000000-0009-0000-0100-000001000000}"/>
  <tableColumns count="17">
    <tableColumn id="31" xr3:uid="{188E2C41-5A34-4E00-84E9-1373E288D9CD}" name="ID grist engagements" dataDxfId="70"/>
    <tableColumn id="36" xr3:uid="{5CB63F39-D847-4746-BA07-69AEE0DC6A81}" name="ID transports" dataDxfId="69" totalsRowDxfId="68"/>
    <tableColumn id="35" xr3:uid="{E70F2DF1-D009-4FD0-A2FC-87A7B133D48E}" name="ID agri/alim" dataDxfId="67" totalsRowDxfId="66"/>
    <tableColumn id="34" xr3:uid="{0377755D-7E94-48D2-8C5E-780FECFBCB5B}" name="ID industrie" totalsRowDxfId="65"/>
    <tableColumn id="33" xr3:uid="{C063D4EE-77B4-4A5A-B461-FD1E6FBDC8B8}" name="ID bâtiments" dataDxfId="64" totalsRowDxfId="63"/>
    <tableColumn id="32" xr3:uid="{D68E13B3-C3CC-433A-9255-D62A5FFF377D}" name="ID énergie" totalsRowDxfId="62"/>
    <tableColumn id="37" xr3:uid="{8E1DA3B0-7136-42FE-B82E-04F5A4CA36DB}" name="ID déchets" dataDxfId="61" totalsRowDxfId="60"/>
    <tableColumn id="38" xr3:uid="{4B24DB37-262A-4CE0-BA74-1C4EF4781D1A}" name="ID puits" totalsRowDxfId="59"/>
    <tableColumn id="9" xr3:uid="{2C334666-13A9-4504-B9AC-1CB52138DCD4}" name="Nombre ID" dataDxfId="58" totalsRowDxfId="57">
      <calculatedColumnFormula>SUM(Tableau13[[#This Row],[Colonne1]:[Colonne8]])</calculatedColumnFormula>
    </tableColumn>
    <tableColumn id="1" xr3:uid="{6C0E6B4D-72D0-4004-A3ED-0E6D5C78CC79}" name="Colonne1" dataDxfId="56" totalsRowDxfId="55">
      <calculatedColumnFormula>IF(ISBLANK(B2),0,LEN(B2)-LEN(SUBSTITUTE(B2,CHAR(10),""))+1)</calculatedColumnFormula>
    </tableColumn>
    <tableColumn id="2" xr3:uid="{7D0005B6-948F-4BD0-B89E-4C7D2720E90B}" name="Colonne2" dataDxfId="54" totalsRowDxfId="53">
      <calculatedColumnFormula>IF(ISBLANK(C2),0,LEN(C2)-LEN(SUBSTITUTE(C2,CHAR(10),""))+1)</calculatedColumnFormula>
    </tableColumn>
    <tableColumn id="3" xr3:uid="{027C092C-3CEC-46D9-B580-466462594856}" name="Colonne3" dataDxfId="52" totalsRowDxfId="51">
      <calculatedColumnFormula>IF(ISBLANK(D2),0,LEN(D2)-LEN(SUBSTITUTE(D2,CHAR(10),""))+1)</calculatedColumnFormula>
    </tableColumn>
    <tableColumn id="4" xr3:uid="{943CEBA3-C633-4A13-8E90-07312952D046}" name="Colonne4" dataDxfId="50" totalsRowDxfId="49">
      <calculatedColumnFormula>IF(ISBLANK(E2),0,LEN(E2)-LEN(SUBSTITUTE(E2,CHAR(10),""))+1)</calculatedColumnFormula>
    </tableColumn>
    <tableColumn id="5" xr3:uid="{8140D4A3-351F-40DB-888D-3E180DF85EB6}" name="Colonne5" dataDxfId="48" totalsRowDxfId="47">
      <calculatedColumnFormula>IF(ISBLANK(F2),0,LEN(F2)-LEN(SUBSTITUTE(F2,CHAR(10),""))+1)</calculatedColumnFormula>
    </tableColumn>
    <tableColumn id="6" xr3:uid="{7DAA9987-0D48-4111-A824-E088FF8265B1}" name="Colonne6" dataDxfId="46" totalsRowDxfId="45">
      <calculatedColumnFormula>IF(ISBLANK(G2),0,LEN(G2)-LEN(SUBSTITUTE(G2,CHAR(10),""))+1)</calculatedColumnFormula>
    </tableColumn>
    <tableColumn id="7" xr3:uid="{E81AA939-2C93-4098-9BAB-A1821AFD3BE0}" name="Colonne7" dataDxfId="44" totalsRowDxfId="43">
      <calculatedColumnFormula>IF(ISBLANK(H2),0,LEN(H2)-LEN(SUBSTITUTE(H2,CHAR(10),""))+1)</calculatedColumnFormula>
    </tableColumn>
    <tableColumn id="8" xr3:uid="{E5C36236-DD1B-4151-9ECB-612E05B26818}" name="Colonne8" dataDxfId="42" totalsRowDxfId="41">
      <calculatedColumnFormula>IF(ISBLANK(I2),0,LEN(I2)-LEN(SUBSTITUTE(I2,CHAR(10),""))+1)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zoomScaleSheetLayoutView="115" workbookViewId="0">
      <selection activeCell="B4" sqref="B4"/>
    </sheetView>
  </sheetViews>
  <sheetFormatPr baseColWidth="10" defaultRowHeight="15" x14ac:dyDescent="0.25"/>
  <cols>
    <col min="1" max="1" width="14.7109375" customWidth="1"/>
    <col min="2" max="2" width="123.42578125" customWidth="1"/>
    <col min="3" max="3" width="65" customWidth="1"/>
  </cols>
  <sheetData>
    <row r="1" spans="1:3" ht="76.5" thickTop="1" thickBot="1" x14ac:dyDescent="0.3">
      <c r="A1" s="99" t="s">
        <v>124</v>
      </c>
      <c r="B1" s="36" t="s">
        <v>275</v>
      </c>
      <c r="C1" s="35"/>
    </row>
    <row r="2" spans="1:3" ht="196.5" thickTop="1" thickBot="1" x14ac:dyDescent="0.3">
      <c r="A2" s="99" t="s">
        <v>273</v>
      </c>
      <c r="B2" s="34" t="s">
        <v>276</v>
      </c>
    </row>
    <row r="3" spans="1:3" ht="181.5" thickTop="1" thickBot="1" x14ac:dyDescent="0.3">
      <c r="A3" s="99" t="s">
        <v>119</v>
      </c>
      <c r="B3" s="34" t="s">
        <v>277</v>
      </c>
    </row>
    <row r="4" spans="1:3" ht="181.5" thickTop="1" thickBot="1" x14ac:dyDescent="0.3">
      <c r="A4" s="99" t="s">
        <v>278</v>
      </c>
      <c r="B4" s="34" t="s">
        <v>274</v>
      </c>
    </row>
    <row r="5" spans="1:3" ht="61.5" thickTop="1" thickBot="1" x14ac:dyDescent="0.3">
      <c r="A5" s="37" t="s">
        <v>120</v>
      </c>
      <c r="B5" s="34" t="s">
        <v>280</v>
      </c>
    </row>
    <row r="6" spans="1:3" ht="15.75" thickTop="1" x14ac:dyDescent="0.25"/>
    <row r="7" spans="1:3" ht="30" x14ac:dyDescent="0.25">
      <c r="B7" s="1" t="s">
        <v>279</v>
      </c>
    </row>
  </sheetData>
  <pageMargins left="0.70866141732283472" right="0.70866141732283472" top="0.74803149606299213" bottom="0.74803149606299213" header="0.31496062992125984" footer="0.31496062992125984"/>
  <pageSetup paperSize="9" scale="63" orientation="portrait" r:id="rId1"/>
  <headerFooter>
    <oddHeader>&amp;F</oddHeader>
    <oddFooter>&amp;A&amp;RPage &amp;P</oddFooter>
  </headerFooter>
  <colBreaks count="1" manualBreakCount="1">
    <brk id="2" max="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4F90-3849-49B9-B5A7-EF39E414A696}">
  <sheetPr>
    <tabColor theme="9"/>
  </sheetPr>
  <dimension ref="A1:V28"/>
  <sheetViews>
    <sheetView tabSelected="1" zoomScale="80" zoomScaleNormal="80" workbookViewId="0">
      <pane xSplit="2" ySplit="1" topLeftCell="C2" activePane="bottomRight" state="frozen"/>
      <selection pane="topRight" activeCell="C1" sqref="C1"/>
      <selection pane="bottomLeft" activeCell="A2" sqref="A2"/>
      <selection pane="bottomRight" activeCell="C4" sqref="C4"/>
    </sheetView>
  </sheetViews>
  <sheetFormatPr baseColWidth="10" defaultColWidth="9.140625" defaultRowHeight="15" x14ac:dyDescent="0.25"/>
  <cols>
    <col min="1" max="1" width="24.28515625" style="1" customWidth="1"/>
    <col min="2" max="2" width="26.85546875" style="1" customWidth="1"/>
    <col min="3" max="3" width="66.7109375" style="1" customWidth="1"/>
    <col min="4" max="4" width="24.42578125" style="1" customWidth="1"/>
    <col min="5" max="5" width="24" style="1" customWidth="1"/>
    <col min="6" max="6" width="13.7109375" style="1" customWidth="1"/>
    <col min="7" max="8" width="41" style="1" customWidth="1"/>
    <col min="9" max="10" width="49.140625" style="1" customWidth="1"/>
    <col min="11" max="11" width="38.85546875" style="1" customWidth="1"/>
    <col min="12" max="12" width="58.5703125" style="1" customWidth="1"/>
    <col min="13" max="20" width="44.7109375" customWidth="1"/>
    <col min="21" max="23" width="39.28515625" customWidth="1"/>
    <col min="24" max="24" width="42.140625" customWidth="1"/>
  </cols>
  <sheetData>
    <row r="1" spans="1:22" s="1" customFormat="1" ht="51.75" customHeight="1" x14ac:dyDescent="0.25">
      <c r="A1" s="1" t="s">
        <v>4</v>
      </c>
      <c r="B1" s="1" t="s">
        <v>0</v>
      </c>
      <c r="C1" s="1" t="s">
        <v>261</v>
      </c>
      <c r="D1" s="1" t="s">
        <v>390</v>
      </c>
      <c r="E1" s="1" t="s">
        <v>259</v>
      </c>
      <c r="F1" s="1" t="s">
        <v>514</v>
      </c>
      <c r="G1" s="1" t="s">
        <v>533</v>
      </c>
      <c r="H1" s="46" t="s">
        <v>392</v>
      </c>
      <c r="I1" s="46" t="s">
        <v>200</v>
      </c>
      <c r="J1" s="46" t="s">
        <v>534</v>
      </c>
      <c r="K1" s="46" t="s">
        <v>535</v>
      </c>
      <c r="L1" s="46" t="s">
        <v>536</v>
      </c>
      <c r="M1" s="46" t="s">
        <v>107</v>
      </c>
      <c r="N1" s="46" t="s">
        <v>537</v>
      </c>
      <c r="O1" s="46" t="s">
        <v>2</v>
      </c>
      <c r="P1" s="46" t="s">
        <v>538</v>
      </c>
      <c r="Q1" s="46" t="s">
        <v>3</v>
      </c>
      <c r="R1" s="46" t="s">
        <v>539</v>
      </c>
      <c r="S1" s="182" t="s">
        <v>540</v>
      </c>
      <c r="T1" s="182" t="s">
        <v>541</v>
      </c>
      <c r="U1" s="182" t="s">
        <v>542</v>
      </c>
      <c r="V1" s="182" t="s">
        <v>543</v>
      </c>
    </row>
    <row r="2" spans="1:22" ht="120" x14ac:dyDescent="0.25">
      <c r="A2" s="1" t="s">
        <v>122</v>
      </c>
      <c r="B2" s="1" t="s">
        <v>250</v>
      </c>
      <c r="C2" s="9" t="s">
        <v>513</v>
      </c>
      <c r="D2" s="5" t="s">
        <v>260</v>
      </c>
      <c r="E2" s="1" t="s">
        <v>391</v>
      </c>
      <c r="F2" s="1" t="b">
        <v>1</v>
      </c>
      <c r="G2" s="1" t="s">
        <v>544</v>
      </c>
      <c r="H2" s="11" t="s">
        <v>426</v>
      </c>
      <c r="I2" s="11" t="s">
        <v>545</v>
      </c>
      <c r="J2" s="11" t="s">
        <v>546</v>
      </c>
      <c r="K2" s="1" t="s">
        <v>547</v>
      </c>
      <c r="L2" s="1" t="s">
        <v>548</v>
      </c>
      <c r="M2" s="1" t="s">
        <v>549</v>
      </c>
      <c r="N2" s="1" t="s">
        <v>550</v>
      </c>
      <c r="O2" s="1" t="s">
        <v>551</v>
      </c>
      <c r="P2" s="1"/>
      <c r="Q2" s="1" t="s">
        <v>552</v>
      </c>
      <c r="R2" s="1"/>
      <c r="S2" s="183"/>
      <c r="T2" s="183"/>
      <c r="U2" s="183"/>
      <c r="V2" s="183" t="s">
        <v>553</v>
      </c>
    </row>
    <row r="3" spans="1:22" ht="45" x14ac:dyDescent="0.25">
      <c r="A3" s="1" t="s">
        <v>122</v>
      </c>
      <c r="B3" s="1" t="s">
        <v>241</v>
      </c>
      <c r="C3" s="9" t="s">
        <v>554</v>
      </c>
      <c r="D3" s="9" t="s">
        <v>30</v>
      </c>
      <c r="E3" s="1" t="s">
        <v>391</v>
      </c>
      <c r="F3" s="1" t="b">
        <v>0</v>
      </c>
      <c r="G3" s="9" t="s">
        <v>555</v>
      </c>
      <c r="H3" s="12" t="s">
        <v>428</v>
      </c>
      <c r="I3" s="12" t="s">
        <v>556</v>
      </c>
      <c r="J3" s="12" t="s">
        <v>557</v>
      </c>
      <c r="M3" s="1"/>
      <c r="N3" s="1"/>
      <c r="O3" s="1"/>
      <c r="P3" s="1"/>
      <c r="Q3" s="1"/>
      <c r="R3" s="1"/>
      <c r="S3" s="183"/>
      <c r="T3" s="183"/>
      <c r="U3" s="183"/>
      <c r="V3" s="183"/>
    </row>
    <row r="4" spans="1:22" ht="60" x14ac:dyDescent="0.25">
      <c r="A4" s="1" t="s">
        <v>122</v>
      </c>
      <c r="B4" s="1" t="s">
        <v>248</v>
      </c>
      <c r="C4" s="9" t="s">
        <v>558</v>
      </c>
      <c r="D4" s="184"/>
      <c r="E4" s="1" t="s">
        <v>391</v>
      </c>
      <c r="G4" s="9" t="s">
        <v>559</v>
      </c>
      <c r="H4" s="12" t="s">
        <v>431</v>
      </c>
      <c r="I4" s="12"/>
      <c r="J4" s="12"/>
      <c r="K4" s="1" t="s">
        <v>560</v>
      </c>
      <c r="L4" s="1" t="s">
        <v>561</v>
      </c>
      <c r="M4" s="1" t="s">
        <v>562</v>
      </c>
      <c r="N4" s="1"/>
      <c r="O4" s="1" t="s">
        <v>549</v>
      </c>
      <c r="P4" s="1"/>
      <c r="Q4" s="1"/>
      <c r="R4" s="1"/>
      <c r="S4" s="183"/>
      <c r="T4" s="183"/>
      <c r="U4" s="183"/>
      <c r="V4" s="183" t="s">
        <v>563</v>
      </c>
    </row>
    <row r="5" spans="1:22" ht="75" x14ac:dyDescent="0.25">
      <c r="A5" s="1" t="s">
        <v>564</v>
      </c>
      <c r="B5" s="1" t="s">
        <v>6</v>
      </c>
      <c r="C5" s="1" t="s">
        <v>565</v>
      </c>
      <c r="D5" s="1" t="s">
        <v>30</v>
      </c>
      <c r="E5" s="1" t="s">
        <v>566</v>
      </c>
      <c r="G5" s="5" t="s">
        <v>567</v>
      </c>
      <c r="H5" s="13"/>
      <c r="I5" s="13"/>
      <c r="J5" s="13"/>
      <c r="L5" s="1" t="s">
        <v>549</v>
      </c>
      <c r="M5" s="1" t="s">
        <v>549</v>
      </c>
      <c r="N5" s="1"/>
      <c r="O5" s="1"/>
      <c r="P5" s="1" t="s">
        <v>549</v>
      </c>
      <c r="Q5" s="1"/>
      <c r="R5" s="1" t="s">
        <v>549</v>
      </c>
      <c r="S5" s="183"/>
      <c r="T5" s="183"/>
      <c r="U5" s="183"/>
      <c r="V5" s="183" t="s">
        <v>568</v>
      </c>
    </row>
    <row r="6" spans="1:22" ht="30" x14ac:dyDescent="0.25">
      <c r="A6" s="9" t="s">
        <v>16</v>
      </c>
      <c r="B6" s="1" t="s">
        <v>332</v>
      </c>
      <c r="C6" s="9" t="s">
        <v>569</v>
      </c>
      <c r="D6" s="9" t="s">
        <v>570</v>
      </c>
      <c r="E6" s="1" t="s">
        <v>571</v>
      </c>
      <c r="G6" s="1" t="s">
        <v>572</v>
      </c>
      <c r="H6" s="119" t="s">
        <v>573</v>
      </c>
      <c r="I6" s="12" t="s">
        <v>574</v>
      </c>
      <c r="J6" s="12"/>
      <c r="L6" s="1" t="s">
        <v>549</v>
      </c>
      <c r="M6" s="1"/>
      <c r="N6" s="1"/>
      <c r="O6" s="1"/>
      <c r="P6" s="1" t="s">
        <v>549</v>
      </c>
      <c r="Q6" s="1"/>
      <c r="R6" s="1" t="s">
        <v>549</v>
      </c>
      <c r="S6" s="183"/>
      <c r="T6" s="183"/>
      <c r="U6" s="183"/>
      <c r="V6" s="183" t="s">
        <v>575</v>
      </c>
    </row>
    <row r="7" spans="1:22" ht="45" x14ac:dyDescent="0.25">
      <c r="A7" s="185" t="s">
        <v>16</v>
      </c>
      <c r="B7" s="92" t="s">
        <v>333</v>
      </c>
      <c r="C7" s="185" t="s">
        <v>576</v>
      </c>
      <c r="D7" s="185" t="s">
        <v>570</v>
      </c>
      <c r="E7" s="185"/>
      <c r="F7" s="185"/>
      <c r="G7" s="9"/>
      <c r="H7" s="12"/>
      <c r="I7" s="12"/>
      <c r="J7" s="12"/>
      <c r="M7" s="1"/>
      <c r="N7" s="1"/>
      <c r="O7" s="1"/>
      <c r="P7" s="1"/>
      <c r="Q7" s="1"/>
      <c r="R7" s="1"/>
      <c r="S7" s="183"/>
      <c r="T7" s="183"/>
      <c r="U7" s="183"/>
      <c r="V7" s="183"/>
    </row>
    <row r="8" spans="1:22" ht="30" x14ac:dyDescent="0.25">
      <c r="A8" s="1" t="s">
        <v>3</v>
      </c>
      <c r="B8" s="1" t="s">
        <v>186</v>
      </c>
      <c r="C8" s="1" t="s">
        <v>577</v>
      </c>
      <c r="D8" s="1" t="s">
        <v>578</v>
      </c>
      <c r="E8" s="1" t="s">
        <v>30</v>
      </c>
      <c r="G8" s="5" t="s">
        <v>579</v>
      </c>
      <c r="H8" s="12" t="s">
        <v>482</v>
      </c>
      <c r="I8" s="12"/>
      <c r="J8" s="12"/>
      <c r="K8" s="1" t="s">
        <v>580</v>
      </c>
      <c r="M8" s="1"/>
      <c r="N8" s="1" t="s">
        <v>549</v>
      </c>
      <c r="O8" s="1"/>
      <c r="P8" s="1"/>
      <c r="Q8" s="1" t="s">
        <v>581</v>
      </c>
      <c r="R8" s="1"/>
      <c r="S8" s="183"/>
      <c r="T8" s="183"/>
      <c r="U8" s="183"/>
      <c r="V8" s="183" t="s">
        <v>582</v>
      </c>
    </row>
    <row r="9" spans="1:22" ht="30" x14ac:dyDescent="0.25">
      <c r="A9" s="1" t="s">
        <v>3</v>
      </c>
      <c r="B9" s="1" t="s">
        <v>163</v>
      </c>
      <c r="C9" s="9" t="s">
        <v>583</v>
      </c>
      <c r="D9" s="9" t="s">
        <v>578</v>
      </c>
      <c r="E9" s="1" t="s">
        <v>30</v>
      </c>
      <c r="G9" s="9" t="s">
        <v>584</v>
      </c>
      <c r="H9" s="12" t="s">
        <v>483</v>
      </c>
      <c r="I9" s="12"/>
      <c r="J9" s="12"/>
      <c r="M9" s="1"/>
      <c r="N9" s="1"/>
      <c r="O9" s="1"/>
      <c r="P9" s="1"/>
      <c r="Q9" s="1" t="s">
        <v>584</v>
      </c>
      <c r="R9" s="1" t="s">
        <v>549</v>
      </c>
      <c r="S9" s="183"/>
      <c r="T9" s="183"/>
      <c r="U9" s="183"/>
      <c r="V9" s="183" t="s">
        <v>585</v>
      </c>
    </row>
    <row r="10" spans="1:22" ht="45" x14ac:dyDescent="0.25">
      <c r="A10" s="9" t="s">
        <v>121</v>
      </c>
      <c r="B10" s="1" t="s">
        <v>359</v>
      </c>
      <c r="C10" s="1" t="s">
        <v>586</v>
      </c>
      <c r="D10" s="9" t="s">
        <v>30</v>
      </c>
      <c r="E10" s="9" t="s">
        <v>587</v>
      </c>
      <c r="F10" s="9"/>
      <c r="G10" s="9" t="s">
        <v>588</v>
      </c>
      <c r="H10" s="119" t="s">
        <v>369</v>
      </c>
      <c r="I10" s="12"/>
      <c r="J10" s="12"/>
      <c r="L10" s="1" t="s">
        <v>549</v>
      </c>
      <c r="M10" s="1"/>
      <c r="N10" s="1" t="s">
        <v>589</v>
      </c>
      <c r="O10" s="1"/>
      <c r="P10" s="1"/>
      <c r="Q10" s="1"/>
      <c r="R10" s="1"/>
      <c r="S10" s="183"/>
      <c r="T10" s="183"/>
      <c r="U10" s="183"/>
      <c r="V10" s="183" t="s">
        <v>590</v>
      </c>
    </row>
    <row r="11" spans="1:22" ht="90" x14ac:dyDescent="0.25">
      <c r="A11" s="9" t="s">
        <v>121</v>
      </c>
      <c r="B11" s="1" t="s">
        <v>358</v>
      </c>
      <c r="C11" s="9" t="s">
        <v>113</v>
      </c>
      <c r="D11" s="9" t="s">
        <v>30</v>
      </c>
      <c r="E11" s="1" t="s">
        <v>114</v>
      </c>
      <c r="G11" s="9" t="s">
        <v>591</v>
      </c>
      <c r="H11" s="12" t="s">
        <v>430</v>
      </c>
      <c r="I11" s="12"/>
      <c r="J11" s="12"/>
      <c r="K11" s="1" t="s">
        <v>221</v>
      </c>
      <c r="M11" s="1"/>
      <c r="N11" s="1" t="s">
        <v>592</v>
      </c>
      <c r="O11" s="1"/>
      <c r="P11" s="1"/>
      <c r="Q11" s="1"/>
      <c r="R11" s="1"/>
      <c r="S11" s="183"/>
      <c r="T11" s="183"/>
      <c r="U11" s="183"/>
      <c r="V11" s="183" t="s">
        <v>593</v>
      </c>
    </row>
    <row r="12" spans="1:22" ht="45" x14ac:dyDescent="0.25">
      <c r="A12" s="1" t="s">
        <v>5</v>
      </c>
      <c r="B12" s="1" t="s">
        <v>381</v>
      </c>
      <c r="C12" s="9" t="s">
        <v>594</v>
      </c>
      <c r="D12" s="9" t="s">
        <v>595</v>
      </c>
      <c r="E12" s="1" t="s">
        <v>571</v>
      </c>
      <c r="G12" s="1" t="s">
        <v>596</v>
      </c>
      <c r="H12" s="11" t="s">
        <v>429</v>
      </c>
      <c r="I12" s="12"/>
      <c r="J12" s="12"/>
      <c r="M12" s="1"/>
      <c r="N12" s="1"/>
      <c r="O12" s="1"/>
      <c r="P12" s="1"/>
      <c r="Q12" s="1"/>
      <c r="R12" s="1"/>
      <c r="S12" s="183"/>
      <c r="T12" s="183"/>
      <c r="U12" s="1"/>
      <c r="V12" s="183"/>
    </row>
    <row r="13" spans="1:22" ht="30" x14ac:dyDescent="0.25">
      <c r="A13" s="1" t="s">
        <v>5</v>
      </c>
      <c r="B13" s="1" t="s">
        <v>380</v>
      </c>
      <c r="C13" s="9" t="s">
        <v>597</v>
      </c>
      <c r="D13" s="9" t="s">
        <v>595</v>
      </c>
      <c r="E13" s="1" t="s">
        <v>571</v>
      </c>
      <c r="H13" s="119" t="s">
        <v>369</v>
      </c>
      <c r="I13" s="12"/>
      <c r="J13" s="12"/>
      <c r="M13" s="1"/>
      <c r="N13" s="1"/>
      <c r="O13" s="1"/>
      <c r="P13" s="1"/>
      <c r="Q13" s="1"/>
      <c r="R13" s="1"/>
      <c r="S13" s="183"/>
      <c r="T13" s="183"/>
      <c r="U13" s="1"/>
      <c r="V13" s="183"/>
    </row>
    <row r="14" spans="1:22" ht="60" x14ac:dyDescent="0.25">
      <c r="I14" s="12" t="s">
        <v>598</v>
      </c>
      <c r="J14" s="12"/>
      <c r="M14" s="1" t="s">
        <v>599</v>
      </c>
    </row>
    <row r="15" spans="1:22" x14ac:dyDescent="0.25">
      <c r="E15" t="s">
        <v>77</v>
      </c>
      <c r="F15"/>
      <c r="M15" t="s">
        <v>600</v>
      </c>
      <c r="N15" t="s">
        <v>561</v>
      </c>
      <c r="T15" t="s">
        <v>601</v>
      </c>
    </row>
    <row r="16" spans="1:22" x14ac:dyDescent="0.25">
      <c r="M16" t="s">
        <v>602</v>
      </c>
      <c r="T16" t="s">
        <v>603</v>
      </c>
    </row>
    <row r="27" spans="14:15" x14ac:dyDescent="0.25">
      <c r="N27" t="s">
        <v>549</v>
      </c>
      <c r="O27" t="s">
        <v>604</v>
      </c>
    </row>
    <row r="28" spans="14:15" x14ac:dyDescent="0.25">
      <c r="N28" t="s">
        <v>605</v>
      </c>
      <c r="O28" t="s">
        <v>606</v>
      </c>
    </row>
  </sheetData>
  <pageMargins left="0.70866141732283472" right="0.70866141732283472" top="0.74803149606299213" bottom="0.74803149606299213" header="0.31496062992125984" footer="0.31496062992125984"/>
  <pageSetup paperSize="9" scale="58" orientation="landscape" r:id="rId1"/>
  <headerFooter>
    <oddHeader>&amp;F</oddHeader>
    <oddFooter>&amp;A&amp;RPage &amp;P</oddFooter>
  </headerFooter>
  <colBreaks count="1" manualBreakCount="1">
    <brk id="10" max="1048575" man="1"/>
  </col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theme="9"/>
  </sheetPr>
  <dimension ref="A1:I5"/>
  <sheetViews>
    <sheetView zoomScale="80" zoomScaleNormal="80" workbookViewId="0">
      <pane xSplit="2" ySplit="1" topLeftCell="C2" activePane="bottomRight" state="frozen"/>
      <selection pane="topRight" activeCell="C1" sqref="C1"/>
      <selection pane="bottomLeft" activeCell="A2" sqref="A2"/>
      <selection pane="bottomRight" activeCell="C21" sqref="C21"/>
    </sheetView>
  </sheetViews>
  <sheetFormatPr baseColWidth="10" defaultColWidth="9.140625" defaultRowHeight="15" outlineLevelCol="1" x14ac:dyDescent="0.25"/>
  <cols>
    <col min="1" max="1" width="24.28515625" style="1" customWidth="1"/>
    <col min="2" max="2" width="26.85546875" style="1" customWidth="1"/>
    <col min="3" max="3" width="66.7109375" style="1" customWidth="1"/>
    <col min="4" max="4" width="24.42578125" style="1" customWidth="1"/>
    <col min="5" max="5" width="24" style="1" customWidth="1"/>
    <col min="6" max="6" width="13.7109375" style="1" customWidth="1"/>
    <col min="7" max="7" width="16.7109375" customWidth="1"/>
    <col min="8" max="8" width="29.85546875" customWidth="1"/>
    <col min="9" max="9" width="29.85546875" customWidth="1" outlineLevel="1"/>
    <col min="10" max="10" width="39.28515625" customWidth="1"/>
    <col min="11" max="11" width="42.140625" customWidth="1"/>
  </cols>
  <sheetData>
    <row r="1" spans="1:9" s="1" customFormat="1" ht="51.75" customHeight="1" x14ac:dyDescent="0.25">
      <c r="A1" s="1" t="s">
        <v>4</v>
      </c>
      <c r="B1" s="1" t="s">
        <v>0</v>
      </c>
      <c r="C1" s="1" t="s">
        <v>261</v>
      </c>
      <c r="D1" s="1" t="s">
        <v>390</v>
      </c>
      <c r="E1" s="1" t="s">
        <v>259</v>
      </c>
      <c r="F1" s="1" t="s">
        <v>514</v>
      </c>
      <c r="G1" s="89" t="s">
        <v>242</v>
      </c>
      <c r="H1" s="90" t="s">
        <v>106</v>
      </c>
      <c r="I1" s="92" t="s">
        <v>420</v>
      </c>
    </row>
    <row r="2" spans="1:9" ht="90" x14ac:dyDescent="0.25">
      <c r="A2" s="1" t="s">
        <v>122</v>
      </c>
      <c r="B2" s="1" t="s">
        <v>250</v>
      </c>
      <c r="C2" s="9" t="s">
        <v>513</v>
      </c>
      <c r="D2" s="5" t="s">
        <v>260</v>
      </c>
      <c r="E2" s="1" t="s">
        <v>391</v>
      </c>
      <c r="F2" s="1" t="b">
        <v>1</v>
      </c>
      <c r="G2" s="89"/>
      <c r="H2" s="1" t="s">
        <v>243</v>
      </c>
      <c r="I2" s="1" t="s">
        <v>441</v>
      </c>
    </row>
    <row r="3" spans="1:9" ht="75" x14ac:dyDescent="0.25">
      <c r="A3" s="124" t="s">
        <v>121</v>
      </c>
      <c r="B3" s="118" t="s">
        <v>358</v>
      </c>
      <c r="C3" s="124" t="s">
        <v>113</v>
      </c>
      <c r="D3" s="124" t="s">
        <v>30</v>
      </c>
      <c r="E3" s="118" t="s">
        <v>114</v>
      </c>
      <c r="F3" s="118"/>
      <c r="G3" s="94"/>
      <c r="H3" s="125" t="s">
        <v>354</v>
      </c>
      <c r="I3" s="125" t="s">
        <v>456</v>
      </c>
    </row>
    <row r="5" spans="1:9" x14ac:dyDescent="0.25">
      <c r="E5" s="10" t="s">
        <v>77</v>
      </c>
      <c r="F5" s="10"/>
    </row>
  </sheetData>
  <pageMargins left="0.70866141732283472" right="0.70866141732283472" top="0.74803149606299213" bottom="0.74803149606299213" header="0.31496062992125984" footer="0.31496062992125984"/>
  <pageSetup paperSize="9" scale="58" orientation="landscape" r:id="rId1"/>
  <headerFooter>
    <oddHeader>&amp;F</oddHeader>
    <oddFooter>&amp;A&amp;RPage &amp;P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7">
    <tabColor theme="5"/>
  </sheetPr>
  <dimension ref="A1:BA105"/>
  <sheetViews>
    <sheetView zoomScale="85" zoomScaleNormal="85" workbookViewId="0">
      <pane xSplit="7" ySplit="1" topLeftCell="AO2" activePane="bottomRight" state="frozen"/>
      <selection pane="topRight" activeCell="M1" sqref="M1"/>
      <selection pane="bottomLeft" activeCell="A2" sqref="A2"/>
      <selection pane="bottomRight" activeCell="AP1" sqref="AP1"/>
    </sheetView>
  </sheetViews>
  <sheetFormatPr baseColWidth="10" defaultColWidth="11.42578125" defaultRowHeight="15" outlineLevelCol="1" x14ac:dyDescent="0.25"/>
  <cols>
    <col min="1" max="1" width="15.5703125" style="2" hidden="1" customWidth="1" outlineLevel="1"/>
    <col min="2" max="2" width="19" style="44" customWidth="1" collapsed="1"/>
    <col min="3" max="4" width="19" style="44" customWidth="1"/>
    <col min="5" max="5" width="19" style="44" customWidth="1" outlineLevel="1"/>
    <col min="6" max="6" width="25.7109375" style="2" customWidth="1"/>
    <col min="7" max="7" width="36.85546875" style="4" customWidth="1"/>
    <col min="8" max="8" width="52" style="4" customWidth="1"/>
    <col min="9" max="9" width="14.140625" style="4" customWidth="1"/>
    <col min="10" max="17" width="16.7109375" style="4" hidden="1" customWidth="1" outlineLevel="1"/>
    <col min="18" max="18" width="52" style="101" customWidth="1" collapsed="1"/>
    <col min="19" max="19" width="25.7109375" style="2" hidden="1" customWidth="1" outlineLevel="1"/>
    <col min="20" max="20" width="13.7109375" style="2" hidden="1" customWidth="1" outlineLevel="1"/>
    <col min="21" max="21" width="93.42578125" style="62" customWidth="1" collapsed="1"/>
    <col min="22" max="23" width="22" style="3" customWidth="1"/>
    <col min="24" max="25" width="21.85546875" style="2" hidden="1" customWidth="1" outlineLevel="1"/>
    <col min="26" max="27" width="25.7109375" style="2" hidden="1" customWidth="1" outlineLevel="1"/>
    <col min="28" max="28" width="15.5703125" style="2" hidden="1" customWidth="1" outlineLevel="1"/>
    <col min="29" max="29" width="9.28515625" style="2" customWidth="1" collapsed="1"/>
    <col min="30" max="30" width="12.42578125" style="2" customWidth="1"/>
    <col min="31" max="36" width="12.42578125" style="63" customWidth="1" outlineLevel="1"/>
    <col min="37" max="37" width="12.42578125" style="2" customWidth="1" outlineLevel="1"/>
    <col min="38" max="38" width="56.42578125" style="2" customWidth="1"/>
    <col min="39" max="39" width="56.42578125" style="2" customWidth="1" outlineLevel="1"/>
    <col min="40" max="40" width="37.42578125" style="35" customWidth="1" outlineLevel="1"/>
    <col min="41" max="42" width="35.42578125" style="35" customWidth="1" outlineLevel="1"/>
    <col min="43" max="43" width="35.42578125" style="152" customWidth="1" outlineLevel="1"/>
    <col min="44" max="46" width="35.42578125" style="35" customWidth="1" outlineLevel="1"/>
    <col min="47" max="47" width="17" style="35" customWidth="1" outlineLevel="1"/>
    <col min="48" max="48" width="15.140625" style="35" customWidth="1" outlineLevel="1"/>
    <col min="49" max="49" width="12.140625" style="35" customWidth="1" outlineLevel="1"/>
    <col min="50" max="53" width="30.85546875" style="35" customWidth="1"/>
    <col min="54" max="16384" width="11.42578125" style="35"/>
  </cols>
  <sheetData>
    <row r="1" spans="1:53" ht="24.75" customHeight="1" x14ac:dyDescent="0.25">
      <c r="A1" s="54" t="s">
        <v>349</v>
      </c>
      <c r="B1" s="48" t="s">
        <v>96</v>
      </c>
      <c r="C1" s="55" t="s">
        <v>263</v>
      </c>
      <c r="D1" s="55" t="s">
        <v>271</v>
      </c>
      <c r="E1" s="64" t="s">
        <v>392</v>
      </c>
      <c r="F1" s="55" t="s">
        <v>95</v>
      </c>
      <c r="G1" s="48" t="s">
        <v>262</v>
      </c>
      <c r="H1" s="55" t="s">
        <v>272</v>
      </c>
      <c r="I1" s="104" t="s">
        <v>346</v>
      </c>
      <c r="J1" s="105" t="s">
        <v>334</v>
      </c>
      <c r="K1" s="115" t="s">
        <v>350</v>
      </c>
      <c r="L1" s="115" t="s">
        <v>1</v>
      </c>
      <c r="M1" s="115" t="s">
        <v>107</v>
      </c>
      <c r="N1" s="115" t="s">
        <v>351</v>
      </c>
      <c r="O1" s="115" t="s">
        <v>347</v>
      </c>
      <c r="P1" s="115" t="s">
        <v>342</v>
      </c>
      <c r="Q1" s="115" t="s">
        <v>352</v>
      </c>
      <c r="R1" s="54" t="s">
        <v>291</v>
      </c>
      <c r="S1" s="54" t="s">
        <v>111</v>
      </c>
      <c r="T1" s="54" t="s">
        <v>112</v>
      </c>
      <c r="U1" s="55" t="s">
        <v>22</v>
      </c>
      <c r="V1" s="54" t="s">
        <v>105</v>
      </c>
      <c r="W1" s="54" t="s">
        <v>123</v>
      </c>
      <c r="X1" s="54" t="s">
        <v>66</v>
      </c>
      <c r="Y1" s="54" t="s">
        <v>189</v>
      </c>
      <c r="Z1" s="54" t="s">
        <v>190</v>
      </c>
      <c r="AA1" s="54" t="s">
        <v>191</v>
      </c>
      <c r="AB1" s="54" t="s">
        <v>162</v>
      </c>
      <c r="AC1" s="54" t="s">
        <v>308</v>
      </c>
      <c r="AD1" s="120" t="s">
        <v>345</v>
      </c>
      <c r="AE1" s="121" t="s">
        <v>353</v>
      </c>
      <c r="AF1" s="121" t="s">
        <v>6</v>
      </c>
      <c r="AG1" s="121" t="s">
        <v>16</v>
      </c>
      <c r="AH1" s="121" t="s">
        <v>254</v>
      </c>
      <c r="AI1" s="121" t="s">
        <v>28</v>
      </c>
      <c r="AJ1" s="121" t="s">
        <v>5</v>
      </c>
      <c r="AK1" s="54" t="s">
        <v>55</v>
      </c>
      <c r="AL1" s="54" t="s">
        <v>309</v>
      </c>
      <c r="AM1" s="54" t="s">
        <v>371</v>
      </c>
      <c r="AN1" s="54" t="s">
        <v>197</v>
      </c>
      <c r="AO1" s="54" t="s">
        <v>198</v>
      </c>
      <c r="AP1" s="54" t="s">
        <v>392</v>
      </c>
      <c r="AQ1" s="54" t="s">
        <v>418</v>
      </c>
      <c r="AR1" s="54" t="s">
        <v>200</v>
      </c>
      <c r="AS1" s="54" t="s">
        <v>417</v>
      </c>
      <c r="AT1" s="54" t="s">
        <v>143</v>
      </c>
      <c r="AU1" s="54" t="s">
        <v>373</v>
      </c>
      <c r="AV1" s="54" t="s">
        <v>366</v>
      </c>
      <c r="AW1" s="54" t="s">
        <v>367</v>
      </c>
      <c r="AX1" s="68" t="s">
        <v>164</v>
      </c>
      <c r="AY1" s="68" t="s">
        <v>155</v>
      </c>
      <c r="AZ1" s="68" t="s">
        <v>165</v>
      </c>
      <c r="BA1" s="68" t="s">
        <v>166</v>
      </c>
    </row>
    <row r="2" spans="1:53" ht="63.75" x14ac:dyDescent="0.25">
      <c r="A2" s="56" t="s">
        <v>98</v>
      </c>
      <c r="B2" s="162" t="s">
        <v>419</v>
      </c>
      <c r="C2" s="165" t="s">
        <v>386</v>
      </c>
      <c r="D2" s="165" t="s">
        <v>385</v>
      </c>
      <c r="E2" s="159" t="s">
        <v>444</v>
      </c>
      <c r="F2" s="40" t="s">
        <v>100</v>
      </c>
      <c r="G2" s="51" t="s">
        <v>245</v>
      </c>
      <c r="H2" s="51" t="s">
        <v>281</v>
      </c>
      <c r="I2" s="106" t="str">
        <f t="shared" ref="I2:I28" ca="1" si="0">IF(COUNTIF(J2:Q2,"&gt;1")&gt;1,"Mixte",OFFSET($J$1,0,MATCH(3,J2:Q2,0)-1))</f>
        <v>Transport</v>
      </c>
      <c r="J2" s="41">
        <v>3</v>
      </c>
      <c r="K2" s="41"/>
      <c r="L2" s="41"/>
      <c r="M2" s="41"/>
      <c r="N2" s="41"/>
      <c r="O2" s="41"/>
      <c r="P2" s="41"/>
      <c r="Q2" s="41"/>
      <c r="R2" s="51"/>
      <c r="S2" s="40" t="s">
        <v>137</v>
      </c>
      <c r="T2" s="38" t="s">
        <v>78</v>
      </c>
      <c r="U2" s="42" t="s">
        <v>104</v>
      </c>
      <c r="V2" s="57" t="b">
        <v>0</v>
      </c>
      <c r="W2" s="57" t="b">
        <v>1</v>
      </c>
      <c r="X2" s="38" t="s">
        <v>67</v>
      </c>
      <c r="Y2" s="38" t="s">
        <v>188</v>
      </c>
      <c r="Z2" s="40" t="s">
        <v>47</v>
      </c>
      <c r="AA2" s="40"/>
      <c r="AB2" s="38"/>
      <c r="AC2" s="41" t="b">
        <v>1</v>
      </c>
      <c r="AD2" s="41" t="str">
        <f ca="1">IF(COUNTIF(AE2:AJ2,"&gt;1")&gt;1,"Mixte",OFFSET(AE$1,0,MATCH(3,AE2:AJ2,0)-1))</f>
        <v>Atténuation</v>
      </c>
      <c r="AE2" s="41">
        <v>3</v>
      </c>
      <c r="AF2" s="41"/>
      <c r="AG2" s="41"/>
      <c r="AH2" s="41"/>
      <c r="AI2" s="41">
        <v>1</v>
      </c>
      <c r="AJ2" s="41"/>
      <c r="AK2" s="41">
        <f t="shared" ref="AK2:AK28" si="1">COUNTIF(AE2:AJ2,"&gt;0")</f>
        <v>2</v>
      </c>
      <c r="AL2" s="38" t="s">
        <v>8</v>
      </c>
      <c r="AM2" s="38"/>
      <c r="AN2" s="69" t="s">
        <v>142</v>
      </c>
      <c r="AO2" s="69" t="s">
        <v>142</v>
      </c>
      <c r="AP2" s="155" t="s">
        <v>443</v>
      </c>
      <c r="AQ2" s="69"/>
      <c r="AR2" s="69"/>
      <c r="AS2" s="69"/>
      <c r="AT2" s="69" t="s">
        <v>144</v>
      </c>
      <c r="AU2" s="69" t="s">
        <v>365</v>
      </c>
      <c r="AV2" s="69" t="s">
        <v>365</v>
      </c>
      <c r="AW2" s="122" t="b">
        <f>AND(AU2="OK",AV2="OK")</f>
        <v>1</v>
      </c>
      <c r="AX2" s="107"/>
      <c r="AY2" s="107"/>
      <c r="AZ2" s="107"/>
      <c r="BA2" s="108"/>
    </row>
    <row r="3" spans="1:53" ht="38.25" x14ac:dyDescent="0.25">
      <c r="A3" s="49" t="s">
        <v>98</v>
      </c>
      <c r="B3" s="163"/>
      <c r="C3" s="166"/>
      <c r="D3" s="166"/>
      <c r="E3" s="160"/>
      <c r="F3" s="14" t="s">
        <v>183</v>
      </c>
      <c r="G3" s="16" t="s">
        <v>375</v>
      </c>
      <c r="H3" s="16" t="s">
        <v>387</v>
      </c>
      <c r="I3" s="109" t="str">
        <f t="shared" ca="1" si="0"/>
        <v>Transport</v>
      </c>
      <c r="J3" s="30">
        <v>3</v>
      </c>
      <c r="K3" s="30"/>
      <c r="L3" s="30"/>
      <c r="M3" s="30"/>
      <c r="N3" s="30"/>
      <c r="O3" s="30"/>
      <c r="P3" s="30"/>
      <c r="Q3" s="30"/>
      <c r="R3" s="16"/>
      <c r="S3" s="14" t="s">
        <v>141</v>
      </c>
      <c r="T3" s="14" t="s">
        <v>138</v>
      </c>
      <c r="U3" s="60" t="s">
        <v>172</v>
      </c>
      <c r="V3" s="15" t="b">
        <v>1</v>
      </c>
      <c r="W3" s="15" t="b">
        <v>1</v>
      </c>
      <c r="X3" s="19" t="s">
        <v>31</v>
      </c>
      <c r="Y3" s="19" t="s">
        <v>193</v>
      </c>
      <c r="Z3" s="19" t="s">
        <v>46</v>
      </c>
      <c r="AA3" s="19"/>
      <c r="AB3" s="19"/>
      <c r="AC3" s="30" t="b">
        <v>1</v>
      </c>
      <c r="AD3" s="30" t="str">
        <f t="shared" ref="AD3:AD28" ca="1" si="2">IF(COUNTIF(AE3:AJ3,"&gt;1")&gt;1,"Mixte",OFFSET(AE$1,0,MATCH(3,AE3:AJ3,0)-1))</f>
        <v>Atténuation</v>
      </c>
      <c r="AE3" s="30">
        <v>3</v>
      </c>
      <c r="AF3" s="30"/>
      <c r="AG3" s="30"/>
      <c r="AH3" s="30"/>
      <c r="AI3" s="30">
        <v>1</v>
      </c>
      <c r="AJ3" s="30"/>
      <c r="AK3" s="30">
        <f t="shared" si="1"/>
        <v>2</v>
      </c>
      <c r="AL3" s="17" t="s">
        <v>21</v>
      </c>
      <c r="AM3" s="18" t="s">
        <v>327</v>
      </c>
      <c r="AN3" s="70" t="s">
        <v>146</v>
      </c>
      <c r="AO3" s="70" t="s">
        <v>410</v>
      </c>
      <c r="AP3" s="70" t="s">
        <v>411</v>
      </c>
      <c r="AQ3" s="82" t="s">
        <v>29</v>
      </c>
      <c r="AR3" s="70" t="s">
        <v>213</v>
      </c>
      <c r="AS3" s="70"/>
      <c r="AT3" s="70" t="s">
        <v>145</v>
      </c>
      <c r="AU3" s="70" t="s">
        <v>365</v>
      </c>
      <c r="AV3" s="70" t="s">
        <v>365</v>
      </c>
      <c r="AW3" s="82" t="b">
        <f t="shared" ref="AW3:AW28" si="3">AND(AU3="OK",AV3="OK")</f>
        <v>1</v>
      </c>
      <c r="AX3" s="65"/>
      <c r="AY3" s="65"/>
      <c r="AZ3" s="79"/>
      <c r="BA3" s="110"/>
    </row>
    <row r="4" spans="1:53" ht="51" x14ac:dyDescent="0.25">
      <c r="A4" s="49" t="s">
        <v>98</v>
      </c>
      <c r="B4" s="163"/>
      <c r="C4" s="166"/>
      <c r="D4" s="166"/>
      <c r="E4" s="160"/>
      <c r="F4" s="14" t="s">
        <v>136</v>
      </c>
      <c r="G4" s="16" t="s">
        <v>244</v>
      </c>
      <c r="H4" s="16" t="s">
        <v>384</v>
      </c>
      <c r="I4" s="109" t="str">
        <f t="shared" ca="1" si="0"/>
        <v>Transport</v>
      </c>
      <c r="J4" s="30">
        <v>3</v>
      </c>
      <c r="K4" s="30"/>
      <c r="L4" s="30"/>
      <c r="M4" s="30"/>
      <c r="N4" s="30"/>
      <c r="O4" s="30"/>
      <c r="P4" s="30"/>
      <c r="Q4" s="30"/>
      <c r="R4" s="16"/>
      <c r="S4" s="14" t="s">
        <v>140</v>
      </c>
      <c r="T4" s="14" t="s">
        <v>139</v>
      </c>
      <c r="U4" s="60" t="s">
        <v>251</v>
      </c>
      <c r="V4" s="15" t="b">
        <v>0</v>
      </c>
      <c r="W4" s="15" t="b">
        <v>1</v>
      </c>
      <c r="X4" s="19" t="s">
        <v>31</v>
      </c>
      <c r="Y4" s="19" t="s">
        <v>193</v>
      </c>
      <c r="Z4" s="19" t="s">
        <v>46</v>
      </c>
      <c r="AA4" s="19"/>
      <c r="AB4" s="19"/>
      <c r="AC4" s="30" t="b">
        <v>1</v>
      </c>
      <c r="AD4" s="30" t="str">
        <f t="shared" ca="1" si="2"/>
        <v>Atténuation</v>
      </c>
      <c r="AE4" s="30">
        <v>3</v>
      </c>
      <c r="AF4" s="30"/>
      <c r="AG4" s="30"/>
      <c r="AH4" s="30"/>
      <c r="AI4" s="30">
        <v>1</v>
      </c>
      <c r="AJ4" s="30"/>
      <c r="AK4" s="30">
        <f t="shared" si="1"/>
        <v>2</v>
      </c>
      <c r="AL4" s="17"/>
      <c r="AM4" s="18" t="s">
        <v>325</v>
      </c>
      <c r="AN4" s="70" t="s">
        <v>148</v>
      </c>
      <c r="AO4" s="70" t="s">
        <v>211</v>
      </c>
      <c r="AP4" s="70" t="s">
        <v>446</v>
      </c>
      <c r="AQ4" s="82" t="s">
        <v>29</v>
      </c>
      <c r="AR4" s="70" t="s">
        <v>212</v>
      </c>
      <c r="AS4" s="70"/>
      <c r="AT4" s="70" t="s">
        <v>147</v>
      </c>
      <c r="AU4" s="70" t="s">
        <v>365</v>
      </c>
      <c r="AV4" s="70" t="s">
        <v>365</v>
      </c>
      <c r="AW4" s="82" t="b">
        <f t="shared" si="3"/>
        <v>1</v>
      </c>
      <c r="AX4" s="65"/>
      <c r="AY4" s="65"/>
      <c r="AZ4" s="79"/>
      <c r="BA4" s="110"/>
    </row>
    <row r="5" spans="1:53" ht="102" x14ac:dyDescent="0.25">
      <c r="A5" s="50" t="s">
        <v>98</v>
      </c>
      <c r="B5" s="164"/>
      <c r="C5" s="168"/>
      <c r="D5" s="168"/>
      <c r="E5" s="161"/>
      <c r="F5" s="23" t="s">
        <v>79</v>
      </c>
      <c r="G5" s="24" t="s">
        <v>376</v>
      </c>
      <c r="H5" s="24" t="s">
        <v>282</v>
      </c>
      <c r="I5" s="111" t="str">
        <f t="shared" ca="1" si="0"/>
        <v>Transport</v>
      </c>
      <c r="J5" s="31">
        <v>3</v>
      </c>
      <c r="K5" s="31"/>
      <c r="L5" s="31"/>
      <c r="M5" s="31"/>
      <c r="N5" s="31"/>
      <c r="O5" s="31"/>
      <c r="P5" s="31"/>
      <c r="Q5" s="31"/>
      <c r="R5" s="24"/>
      <c r="S5" s="23" t="s">
        <v>9</v>
      </c>
      <c r="T5" s="23" t="s">
        <v>9</v>
      </c>
      <c r="U5" s="47" t="s">
        <v>173</v>
      </c>
      <c r="V5" s="25" t="b">
        <v>1</v>
      </c>
      <c r="W5" s="25" t="b">
        <v>1</v>
      </c>
      <c r="X5" s="28" t="s">
        <v>9</v>
      </c>
      <c r="Y5" s="28" t="s">
        <v>188</v>
      </c>
      <c r="Z5" s="28" t="s">
        <v>9</v>
      </c>
      <c r="AA5" s="28"/>
      <c r="AB5" s="28"/>
      <c r="AC5" s="31" t="b">
        <v>1</v>
      </c>
      <c r="AD5" s="31" t="str">
        <f t="shared" ca="1" si="2"/>
        <v>Atténuation</v>
      </c>
      <c r="AE5" s="31">
        <v>3</v>
      </c>
      <c r="AF5" s="31"/>
      <c r="AG5" s="31"/>
      <c r="AH5" s="31"/>
      <c r="AI5" s="31">
        <v>1</v>
      </c>
      <c r="AJ5" s="31"/>
      <c r="AK5" s="31">
        <f t="shared" si="1"/>
        <v>2</v>
      </c>
      <c r="AL5" s="29" t="s">
        <v>10</v>
      </c>
      <c r="AM5" s="29" t="s">
        <v>170</v>
      </c>
      <c r="AN5" s="77" t="s">
        <v>170</v>
      </c>
      <c r="AO5" s="77" t="s">
        <v>209</v>
      </c>
      <c r="AP5" s="77" t="s">
        <v>445</v>
      </c>
      <c r="AQ5" s="77"/>
      <c r="AR5" s="77" t="s">
        <v>210</v>
      </c>
      <c r="AS5" s="77"/>
      <c r="AT5" s="71" t="s">
        <v>171</v>
      </c>
      <c r="AU5" s="71" t="s">
        <v>368</v>
      </c>
      <c r="AV5" s="71" t="s">
        <v>365</v>
      </c>
      <c r="AW5" s="83" t="b">
        <f t="shared" si="3"/>
        <v>0</v>
      </c>
      <c r="AX5" s="66"/>
      <c r="AY5" s="66"/>
      <c r="AZ5" s="66"/>
      <c r="BA5" s="112"/>
    </row>
    <row r="6" spans="1:53" ht="165.75" x14ac:dyDescent="0.25">
      <c r="A6" s="56" t="s">
        <v>98</v>
      </c>
      <c r="B6" s="162" t="s">
        <v>103</v>
      </c>
      <c r="C6" s="165" t="s">
        <v>519</v>
      </c>
      <c r="D6" s="165" t="s">
        <v>520</v>
      </c>
      <c r="E6" s="159" t="s">
        <v>147</v>
      </c>
      <c r="F6" s="38" t="s">
        <v>293</v>
      </c>
      <c r="G6" s="40" t="s">
        <v>294</v>
      </c>
      <c r="H6" s="58" t="s">
        <v>388</v>
      </c>
      <c r="I6" s="106" t="str">
        <f t="shared" ca="1" si="0"/>
        <v>Transport</v>
      </c>
      <c r="J6" s="41">
        <v>3</v>
      </c>
      <c r="K6" s="41"/>
      <c r="L6" s="41"/>
      <c r="M6" s="41"/>
      <c r="N6" s="41"/>
      <c r="O6" s="41"/>
      <c r="P6" s="41"/>
      <c r="Q6" s="41"/>
      <c r="R6" s="58"/>
      <c r="S6" s="38" t="s">
        <v>177</v>
      </c>
      <c r="T6" s="38" t="s">
        <v>176</v>
      </c>
      <c r="U6" s="59" t="s">
        <v>174</v>
      </c>
      <c r="V6" s="39" t="b">
        <v>1</v>
      </c>
      <c r="W6" s="39" t="b">
        <v>1</v>
      </c>
      <c r="X6" s="43" t="s">
        <v>178</v>
      </c>
      <c r="Y6" s="43" t="s">
        <v>193</v>
      </c>
      <c r="Z6" s="40" t="s">
        <v>48</v>
      </c>
      <c r="AA6" s="40"/>
      <c r="AB6" s="38" t="b">
        <v>0</v>
      </c>
      <c r="AC6" s="41" t="b">
        <v>1</v>
      </c>
      <c r="AD6" s="41" t="str">
        <f t="shared" ca="1" si="2"/>
        <v>Atténuation</v>
      </c>
      <c r="AE6" s="41">
        <v>3</v>
      </c>
      <c r="AF6" s="41"/>
      <c r="AG6" s="41"/>
      <c r="AH6" s="41"/>
      <c r="AI6" s="41">
        <v>1</v>
      </c>
      <c r="AJ6" s="41"/>
      <c r="AK6" s="41">
        <f t="shared" si="1"/>
        <v>2</v>
      </c>
      <c r="AL6" s="42" t="s">
        <v>7</v>
      </c>
      <c r="AM6" s="42" t="s">
        <v>326</v>
      </c>
      <c r="AN6" s="72" t="s">
        <v>179</v>
      </c>
      <c r="AO6" s="72" t="s">
        <v>149</v>
      </c>
      <c r="AP6" s="72" t="s">
        <v>447</v>
      </c>
      <c r="AQ6" s="72"/>
      <c r="AR6" s="72" t="s">
        <v>217</v>
      </c>
      <c r="AS6" s="72"/>
      <c r="AT6" s="72" t="s">
        <v>169</v>
      </c>
      <c r="AU6" s="72" t="s">
        <v>365</v>
      </c>
      <c r="AV6" s="72" t="s">
        <v>365</v>
      </c>
      <c r="AW6" s="81" t="b">
        <f t="shared" si="3"/>
        <v>1</v>
      </c>
      <c r="AX6" s="67"/>
      <c r="AY6" s="67"/>
      <c r="AZ6" s="67"/>
      <c r="BA6" s="67"/>
    </row>
    <row r="7" spans="1:53" ht="140.25" x14ac:dyDescent="0.25">
      <c r="A7" s="49" t="s">
        <v>98</v>
      </c>
      <c r="B7" s="163"/>
      <c r="C7" s="166"/>
      <c r="D7" s="166"/>
      <c r="E7" s="160"/>
      <c r="F7" s="14" t="s">
        <v>361</v>
      </c>
      <c r="G7" s="21" t="s">
        <v>518</v>
      </c>
      <c r="H7" s="21" t="s">
        <v>389</v>
      </c>
      <c r="I7" s="109" t="str">
        <f t="shared" ca="1" si="0"/>
        <v>Transport</v>
      </c>
      <c r="J7" s="30">
        <v>3</v>
      </c>
      <c r="K7" s="30"/>
      <c r="L7" s="30"/>
      <c r="M7" s="30"/>
      <c r="N7" s="30"/>
      <c r="O7" s="30"/>
      <c r="P7" s="30"/>
      <c r="Q7" s="30"/>
      <c r="R7" s="20"/>
      <c r="S7" s="14" t="s">
        <v>102</v>
      </c>
      <c r="T7" s="14" t="s">
        <v>68</v>
      </c>
      <c r="U7" s="45" t="s">
        <v>253</v>
      </c>
      <c r="V7" s="15" t="b">
        <v>0</v>
      </c>
      <c r="W7" s="15" t="b">
        <v>0</v>
      </c>
      <c r="X7" s="14" t="s">
        <v>68</v>
      </c>
      <c r="Y7" s="14" t="s">
        <v>188</v>
      </c>
      <c r="Z7" s="19" t="s">
        <v>45</v>
      </c>
      <c r="AA7" s="19"/>
      <c r="AB7" s="14"/>
      <c r="AC7" s="30" t="b">
        <v>1</v>
      </c>
      <c r="AD7" s="30" t="str">
        <f t="shared" ca="1" si="2"/>
        <v>Mixte</v>
      </c>
      <c r="AE7" s="30">
        <v>3</v>
      </c>
      <c r="AF7" s="30"/>
      <c r="AG7" s="30"/>
      <c r="AH7" s="30"/>
      <c r="AI7" s="30">
        <v>3</v>
      </c>
      <c r="AJ7" s="30"/>
      <c r="AK7" s="30">
        <f t="shared" si="1"/>
        <v>2</v>
      </c>
      <c r="AL7" s="17" t="s">
        <v>11</v>
      </c>
      <c r="AM7" s="17" t="s">
        <v>323</v>
      </c>
      <c r="AN7" s="70"/>
      <c r="AO7" s="70" t="s">
        <v>448</v>
      </c>
      <c r="AP7" s="70" t="s">
        <v>449</v>
      </c>
      <c r="AQ7" s="70"/>
      <c r="AR7" s="70" t="s">
        <v>215</v>
      </c>
      <c r="AS7" s="70"/>
      <c r="AT7" s="70"/>
      <c r="AU7" s="70" t="s">
        <v>369</v>
      </c>
      <c r="AV7" s="70" t="s">
        <v>365</v>
      </c>
      <c r="AW7" s="82" t="b">
        <f t="shared" si="3"/>
        <v>0</v>
      </c>
      <c r="AX7" s="65"/>
      <c r="AY7" s="65"/>
      <c r="AZ7" s="65"/>
      <c r="BA7" s="65"/>
    </row>
    <row r="8" spans="1:53" ht="38.25" x14ac:dyDescent="0.25">
      <c r="A8" s="126" t="s">
        <v>98</v>
      </c>
      <c r="B8" s="175"/>
      <c r="C8" s="167"/>
      <c r="D8" s="167"/>
      <c r="E8" s="173"/>
      <c r="F8" s="16" t="s">
        <v>360</v>
      </c>
      <c r="G8" s="117" t="s">
        <v>355</v>
      </c>
      <c r="H8" s="128"/>
      <c r="I8" s="109" t="str">
        <f t="shared" ca="1" si="0"/>
        <v>Transport</v>
      </c>
      <c r="J8" s="116">
        <v>3</v>
      </c>
      <c r="K8" s="116"/>
      <c r="L8" s="116"/>
      <c r="M8" s="116"/>
      <c r="N8" s="116"/>
      <c r="O8" s="116"/>
      <c r="P8" s="116"/>
      <c r="Q8" s="116"/>
      <c r="R8" s="129"/>
      <c r="S8" s="127"/>
      <c r="T8" s="127"/>
      <c r="U8" s="130"/>
      <c r="V8" s="131" t="b">
        <v>0</v>
      </c>
      <c r="W8" s="131" t="b">
        <v>1</v>
      </c>
      <c r="X8" s="127"/>
      <c r="Y8" s="127"/>
      <c r="Z8" s="132"/>
      <c r="AA8" s="132"/>
      <c r="AB8" s="127"/>
      <c r="AC8" s="116" t="b">
        <v>1</v>
      </c>
      <c r="AD8" s="30" t="str">
        <f t="shared" ca="1" si="2"/>
        <v>Pollution / santé</v>
      </c>
      <c r="AE8" s="116"/>
      <c r="AF8" s="116"/>
      <c r="AG8" s="116"/>
      <c r="AH8" s="116"/>
      <c r="AI8" s="116">
        <v>3</v>
      </c>
      <c r="AJ8" s="116"/>
      <c r="AK8" s="30">
        <f t="shared" si="1"/>
        <v>1</v>
      </c>
      <c r="AL8" s="133"/>
      <c r="AM8" s="133"/>
      <c r="AN8" s="134"/>
      <c r="AO8" s="134"/>
      <c r="AP8" s="143" t="s">
        <v>496</v>
      </c>
      <c r="AQ8" s="134"/>
      <c r="AR8" s="134"/>
      <c r="AS8" s="134"/>
      <c r="AT8" s="134"/>
      <c r="AU8" s="134" t="s">
        <v>370</v>
      </c>
      <c r="AV8" s="134" t="s">
        <v>370</v>
      </c>
      <c r="AW8" s="142" t="b">
        <f t="shared" si="3"/>
        <v>0</v>
      </c>
      <c r="AX8" s="135"/>
      <c r="AY8" s="135"/>
      <c r="AZ8" s="135"/>
      <c r="BA8" s="135"/>
    </row>
    <row r="9" spans="1:53" ht="38.25" customHeight="1" x14ac:dyDescent="0.25">
      <c r="A9" s="50" t="s">
        <v>98</v>
      </c>
      <c r="B9" s="164"/>
      <c r="C9" s="168"/>
      <c r="D9" s="168"/>
      <c r="E9" s="161"/>
      <c r="F9" s="28" t="s">
        <v>305</v>
      </c>
      <c r="G9" s="24" t="s">
        <v>303</v>
      </c>
      <c r="H9" s="24" t="s">
        <v>304</v>
      </c>
      <c r="I9" s="111" t="str">
        <f t="shared" ca="1" si="0"/>
        <v>Transport</v>
      </c>
      <c r="J9" s="31">
        <v>3</v>
      </c>
      <c r="K9" s="31"/>
      <c r="L9" s="31"/>
      <c r="M9" s="31"/>
      <c r="N9" s="31"/>
      <c r="O9" s="31"/>
      <c r="P9" s="31"/>
      <c r="Q9" s="31"/>
      <c r="R9" s="24"/>
      <c r="S9" s="23" t="s">
        <v>39</v>
      </c>
      <c r="T9" s="23" t="s">
        <v>80</v>
      </c>
      <c r="U9" s="53"/>
      <c r="V9" s="25" t="b">
        <v>0</v>
      </c>
      <c r="W9" s="25" t="b">
        <v>0</v>
      </c>
      <c r="X9" s="23" t="s">
        <v>70</v>
      </c>
      <c r="Y9" s="23" t="s">
        <v>193</v>
      </c>
      <c r="Z9" s="26" t="s">
        <v>45</v>
      </c>
      <c r="AA9" s="26" t="s">
        <v>192</v>
      </c>
      <c r="AB9" s="23"/>
      <c r="AC9" s="31" t="b">
        <v>0</v>
      </c>
      <c r="AD9" s="31" t="str">
        <f t="shared" ca="1" si="2"/>
        <v>Atténuation</v>
      </c>
      <c r="AE9" s="31">
        <v>3</v>
      </c>
      <c r="AF9" s="31"/>
      <c r="AG9" s="31"/>
      <c r="AH9" s="31"/>
      <c r="AI9" s="31"/>
      <c r="AJ9" s="31"/>
      <c r="AK9" s="31">
        <f t="shared" si="1"/>
        <v>1</v>
      </c>
      <c r="AL9" s="29" t="s">
        <v>12</v>
      </c>
      <c r="AM9" s="29"/>
      <c r="AN9" s="71"/>
      <c r="AO9" s="71" t="s">
        <v>224</v>
      </c>
      <c r="AP9" s="71" t="s">
        <v>416</v>
      </c>
      <c r="AQ9" s="71"/>
      <c r="AR9" s="71"/>
      <c r="AS9" s="71"/>
      <c r="AT9" s="71"/>
      <c r="AU9" s="71" t="s">
        <v>365</v>
      </c>
      <c r="AV9" s="71" t="s">
        <v>365</v>
      </c>
      <c r="AW9" s="83" t="b">
        <f t="shared" si="3"/>
        <v>1</v>
      </c>
      <c r="AX9" s="66"/>
      <c r="AY9" s="66"/>
      <c r="AZ9" s="66"/>
      <c r="BA9" s="66"/>
    </row>
    <row r="10" spans="1:53" ht="114.75" x14ac:dyDescent="0.25">
      <c r="A10" s="56" t="s">
        <v>98</v>
      </c>
      <c r="B10" s="165" t="s">
        <v>17</v>
      </c>
      <c r="C10" s="169" t="s">
        <v>295</v>
      </c>
      <c r="D10" s="169" t="s">
        <v>296</v>
      </c>
      <c r="E10" s="174" t="s">
        <v>442</v>
      </c>
      <c r="F10" s="38" t="s">
        <v>34</v>
      </c>
      <c r="G10" s="51" t="s">
        <v>377</v>
      </c>
      <c r="H10" s="61" t="s">
        <v>283</v>
      </c>
      <c r="I10" s="106" t="str">
        <f t="shared" ca="1" si="0"/>
        <v>Transport</v>
      </c>
      <c r="J10" s="41">
        <v>3</v>
      </c>
      <c r="K10" s="41"/>
      <c r="L10" s="41"/>
      <c r="M10" s="41"/>
      <c r="N10" s="41"/>
      <c r="O10" s="41"/>
      <c r="P10" s="41"/>
      <c r="Q10" s="41"/>
      <c r="R10" s="61"/>
      <c r="S10" s="38" t="s">
        <v>34</v>
      </c>
      <c r="T10" s="38" t="s">
        <v>82</v>
      </c>
      <c r="U10" s="59" t="s">
        <v>252</v>
      </c>
      <c r="V10" s="39" t="b">
        <v>1</v>
      </c>
      <c r="W10" s="39" t="b">
        <v>1</v>
      </c>
      <c r="X10" s="38" t="s">
        <v>72</v>
      </c>
      <c r="Y10" s="38" t="s">
        <v>188</v>
      </c>
      <c r="Z10" s="43" t="s">
        <v>54</v>
      </c>
      <c r="AA10" s="43"/>
      <c r="AB10" s="38" t="b">
        <v>0</v>
      </c>
      <c r="AC10" s="41" t="b">
        <v>1</v>
      </c>
      <c r="AD10" s="41" t="str">
        <f t="shared" ca="1" si="2"/>
        <v>Atténuation</v>
      </c>
      <c r="AE10" s="41">
        <v>3</v>
      </c>
      <c r="AF10" s="41"/>
      <c r="AG10" s="41"/>
      <c r="AH10" s="41"/>
      <c r="AI10" s="41"/>
      <c r="AJ10" s="41"/>
      <c r="AK10" s="41">
        <f t="shared" si="1"/>
        <v>1</v>
      </c>
      <c r="AL10" s="42"/>
      <c r="AM10" s="42"/>
      <c r="AN10" s="72" t="s">
        <v>152</v>
      </c>
      <c r="AO10" s="72" t="s">
        <v>226</v>
      </c>
      <c r="AP10" s="72" t="s">
        <v>454</v>
      </c>
      <c r="AQ10" s="72"/>
      <c r="AR10" s="72"/>
      <c r="AS10" s="72"/>
      <c r="AT10" s="72" t="s">
        <v>153</v>
      </c>
      <c r="AU10" s="72" t="s">
        <v>365</v>
      </c>
      <c r="AV10" s="72" t="s">
        <v>365</v>
      </c>
      <c r="AW10" s="81" t="b">
        <f t="shared" si="3"/>
        <v>1</v>
      </c>
      <c r="AX10" s="67"/>
      <c r="AY10" s="67"/>
      <c r="AZ10" s="67"/>
      <c r="BA10" s="67"/>
    </row>
    <row r="11" spans="1:53" ht="34.5" customHeight="1" x14ac:dyDescent="0.25">
      <c r="A11" s="49" t="s">
        <v>98</v>
      </c>
      <c r="B11" s="166"/>
      <c r="C11" s="166"/>
      <c r="D11" s="170"/>
      <c r="E11" s="160"/>
      <c r="F11" s="14" t="s">
        <v>84</v>
      </c>
      <c r="G11" s="22" t="s">
        <v>246</v>
      </c>
      <c r="H11" s="22" t="s">
        <v>284</v>
      </c>
      <c r="I11" s="109" t="str">
        <f t="shared" ca="1" si="0"/>
        <v>Transport</v>
      </c>
      <c r="J11" s="30">
        <v>3</v>
      </c>
      <c r="K11" s="30"/>
      <c r="L11" s="30"/>
      <c r="M11" s="30"/>
      <c r="N11" s="30"/>
      <c r="O11" s="30"/>
      <c r="P11" s="30"/>
      <c r="Q11" s="30"/>
      <c r="R11" s="22"/>
      <c r="S11" s="14" t="s">
        <v>32</v>
      </c>
      <c r="T11" s="14" t="s">
        <v>83</v>
      </c>
      <c r="U11" s="60" t="s">
        <v>117</v>
      </c>
      <c r="V11" s="15" t="b">
        <v>0</v>
      </c>
      <c r="W11" s="15" t="b">
        <v>0</v>
      </c>
      <c r="X11" s="14" t="s">
        <v>69</v>
      </c>
      <c r="Y11" s="14" t="s">
        <v>188</v>
      </c>
      <c r="Z11" s="18" t="s">
        <v>54</v>
      </c>
      <c r="AA11" s="18"/>
      <c r="AB11" s="14" t="b">
        <v>0</v>
      </c>
      <c r="AC11" s="30" t="b">
        <v>1</v>
      </c>
      <c r="AD11" s="30" t="str">
        <f t="shared" ca="1" si="2"/>
        <v>Atténuation</v>
      </c>
      <c r="AE11" s="30">
        <v>3</v>
      </c>
      <c r="AF11" s="30"/>
      <c r="AG11" s="30"/>
      <c r="AH11" s="30"/>
      <c r="AI11" s="30"/>
      <c r="AJ11" s="30"/>
      <c r="AK11" s="30">
        <f t="shared" si="1"/>
        <v>1</v>
      </c>
      <c r="AL11" s="17"/>
      <c r="AM11" s="17"/>
      <c r="AN11" s="70"/>
      <c r="AO11" s="103" t="s">
        <v>227</v>
      </c>
      <c r="AP11" s="103" t="s">
        <v>413</v>
      </c>
      <c r="AQ11" s="80"/>
      <c r="AR11" s="70"/>
      <c r="AS11" s="70"/>
      <c r="AT11" s="70" t="s">
        <v>153</v>
      </c>
      <c r="AU11" s="70" t="s">
        <v>365</v>
      </c>
      <c r="AV11" s="70" t="s">
        <v>365</v>
      </c>
      <c r="AW11" s="82" t="b">
        <f t="shared" si="3"/>
        <v>1</v>
      </c>
      <c r="AX11" s="65"/>
      <c r="AY11" s="65"/>
      <c r="AZ11" s="65"/>
      <c r="BA11" s="65"/>
    </row>
    <row r="12" spans="1:53" ht="34.5" customHeight="1" x14ac:dyDescent="0.25">
      <c r="A12" s="49" t="s">
        <v>98</v>
      </c>
      <c r="B12" s="167"/>
      <c r="C12" s="167"/>
      <c r="D12" s="171"/>
      <c r="E12" s="173"/>
      <c r="F12" s="16" t="s">
        <v>364</v>
      </c>
      <c r="G12" s="117" t="s">
        <v>355</v>
      </c>
      <c r="H12" s="137"/>
      <c r="I12" s="109" t="str">
        <f t="shared" ca="1" si="0"/>
        <v>Transport</v>
      </c>
      <c r="J12" s="116">
        <v>3</v>
      </c>
      <c r="K12" s="116"/>
      <c r="L12" s="116"/>
      <c r="M12" s="116"/>
      <c r="N12" s="116"/>
      <c r="O12" s="116"/>
      <c r="P12" s="116"/>
      <c r="Q12" s="116"/>
      <c r="R12" s="137"/>
      <c r="S12" s="127"/>
      <c r="T12" s="127"/>
      <c r="U12" s="138"/>
      <c r="V12" s="131" t="b">
        <v>0</v>
      </c>
      <c r="W12" s="131" t="b">
        <v>0</v>
      </c>
      <c r="X12" s="127"/>
      <c r="Y12" s="127"/>
      <c r="Z12" s="140"/>
      <c r="AA12" s="140"/>
      <c r="AB12" s="127"/>
      <c r="AC12" s="116" t="b">
        <v>1</v>
      </c>
      <c r="AD12" s="116" t="str">
        <f t="shared" ca="1" si="2"/>
        <v>Pollution / santé</v>
      </c>
      <c r="AE12" s="116">
        <v>1</v>
      </c>
      <c r="AF12" s="116"/>
      <c r="AG12" s="116"/>
      <c r="AH12" s="116"/>
      <c r="AI12" s="116">
        <v>3</v>
      </c>
      <c r="AJ12" s="116"/>
      <c r="AK12" s="116">
        <f t="shared" si="1"/>
        <v>2</v>
      </c>
      <c r="AL12" s="133"/>
      <c r="AM12" s="133"/>
      <c r="AN12" s="134"/>
      <c r="AO12" s="139"/>
      <c r="AP12" s="143" t="s">
        <v>496</v>
      </c>
      <c r="AQ12" s="139"/>
      <c r="AR12" s="134"/>
      <c r="AS12" s="134"/>
      <c r="AT12" s="134"/>
      <c r="AU12" s="134" t="s">
        <v>370</v>
      </c>
      <c r="AV12" s="134" t="s">
        <v>370</v>
      </c>
      <c r="AW12" s="142" t="b">
        <f t="shared" si="3"/>
        <v>0</v>
      </c>
      <c r="AX12" s="135"/>
      <c r="AY12" s="135"/>
      <c r="AZ12" s="135"/>
      <c r="BA12" s="135"/>
    </row>
    <row r="13" spans="1:53" ht="36" customHeight="1" x14ac:dyDescent="0.25">
      <c r="A13" s="50" t="s">
        <v>98</v>
      </c>
      <c r="B13" s="168"/>
      <c r="C13" s="168"/>
      <c r="D13" s="172"/>
      <c r="E13" s="161"/>
      <c r="F13" s="28" t="s">
        <v>306</v>
      </c>
      <c r="G13" s="33" t="s">
        <v>374</v>
      </c>
      <c r="H13" s="33" t="s">
        <v>285</v>
      </c>
      <c r="I13" s="111" t="str">
        <f t="shared" ca="1" si="0"/>
        <v>Transport</v>
      </c>
      <c r="J13" s="31">
        <v>3</v>
      </c>
      <c r="K13" s="31"/>
      <c r="L13" s="31"/>
      <c r="M13" s="31"/>
      <c r="N13" s="31"/>
      <c r="O13" s="31"/>
      <c r="P13" s="31"/>
      <c r="Q13" s="31"/>
      <c r="R13" s="33"/>
      <c r="S13" s="23" t="s">
        <v>33</v>
      </c>
      <c r="T13" s="23" t="s">
        <v>85</v>
      </c>
      <c r="U13" s="47" t="s">
        <v>23</v>
      </c>
      <c r="V13" s="25" t="b">
        <v>0</v>
      </c>
      <c r="W13" s="25" t="b">
        <v>0</v>
      </c>
      <c r="X13" s="23" t="s">
        <v>71</v>
      </c>
      <c r="Y13" s="23" t="s">
        <v>188</v>
      </c>
      <c r="Z13" s="27" t="s">
        <v>54</v>
      </c>
      <c r="AA13" s="27"/>
      <c r="AB13" s="23" t="b">
        <v>0</v>
      </c>
      <c r="AC13" s="31" t="b">
        <v>1</v>
      </c>
      <c r="AD13" s="31" t="str">
        <f t="shared" ca="1" si="2"/>
        <v>Atténuation</v>
      </c>
      <c r="AE13" s="31">
        <v>3</v>
      </c>
      <c r="AF13" s="31"/>
      <c r="AG13" s="31"/>
      <c r="AH13" s="31"/>
      <c r="AI13" s="31"/>
      <c r="AJ13" s="31"/>
      <c r="AK13" s="31">
        <f t="shared" si="1"/>
        <v>1</v>
      </c>
      <c r="AL13" s="23" t="s">
        <v>53</v>
      </c>
      <c r="AM13" s="23"/>
      <c r="AN13" s="73"/>
      <c r="AO13" s="73" t="s">
        <v>225</v>
      </c>
      <c r="AP13" s="73" t="s">
        <v>412</v>
      </c>
      <c r="AQ13" s="146" t="s">
        <v>29</v>
      </c>
      <c r="AR13" s="73"/>
      <c r="AS13" s="73"/>
      <c r="AT13" s="73"/>
      <c r="AU13" s="73" t="s">
        <v>365</v>
      </c>
      <c r="AV13" s="73" t="s">
        <v>365</v>
      </c>
      <c r="AW13" s="123" t="b">
        <f t="shared" si="3"/>
        <v>1</v>
      </c>
      <c r="AX13" s="66"/>
      <c r="AY13" s="66"/>
      <c r="AZ13" s="66"/>
      <c r="BA13" s="66"/>
    </row>
    <row r="14" spans="1:53" ht="38.25" customHeight="1" x14ac:dyDescent="0.25">
      <c r="A14" s="56" t="s">
        <v>99</v>
      </c>
      <c r="B14" s="162" t="s">
        <v>529</v>
      </c>
      <c r="C14" s="169" t="s">
        <v>116</v>
      </c>
      <c r="D14" s="169" t="s">
        <v>292</v>
      </c>
      <c r="E14" s="159"/>
      <c r="F14" s="38" t="s">
        <v>91</v>
      </c>
      <c r="G14" s="51" t="s">
        <v>247</v>
      </c>
      <c r="H14" s="61" t="s">
        <v>286</v>
      </c>
      <c r="I14" s="106" t="str">
        <f t="shared" ca="1" si="0"/>
        <v>Transport</v>
      </c>
      <c r="J14" s="41">
        <v>3</v>
      </c>
      <c r="K14" s="41"/>
      <c r="L14" s="41"/>
      <c r="M14" s="41"/>
      <c r="N14" s="41"/>
      <c r="O14" s="41"/>
      <c r="P14" s="41"/>
      <c r="Q14" s="41"/>
      <c r="R14" s="61"/>
      <c r="S14" s="38" t="s">
        <v>37</v>
      </c>
      <c r="T14" s="38" t="s">
        <v>90</v>
      </c>
      <c r="U14" s="59" t="s">
        <v>24</v>
      </c>
      <c r="V14" s="39" t="b">
        <v>0</v>
      </c>
      <c r="W14" s="39" t="b">
        <v>0</v>
      </c>
      <c r="X14" s="40" t="s">
        <v>37</v>
      </c>
      <c r="Y14" s="40" t="s">
        <v>188</v>
      </c>
      <c r="Z14" s="52" t="s">
        <v>51</v>
      </c>
      <c r="AA14" s="52"/>
      <c r="AB14" s="40"/>
      <c r="AC14" s="41" t="b">
        <v>1</v>
      </c>
      <c r="AD14" s="41" t="str">
        <f t="shared" ca="1" si="2"/>
        <v>Atténuation</v>
      </c>
      <c r="AE14" s="41">
        <v>3</v>
      </c>
      <c r="AF14" s="41"/>
      <c r="AG14" s="41"/>
      <c r="AH14" s="41"/>
      <c r="AI14" s="41">
        <v>1</v>
      </c>
      <c r="AJ14" s="41"/>
      <c r="AK14" s="41">
        <f t="shared" si="1"/>
        <v>2</v>
      </c>
      <c r="AL14" s="42" t="s">
        <v>52</v>
      </c>
      <c r="AM14" s="42" t="s">
        <v>317</v>
      </c>
      <c r="AN14" s="72" t="s">
        <v>154</v>
      </c>
      <c r="AO14" s="72" t="s">
        <v>218</v>
      </c>
      <c r="AP14" s="156" t="s">
        <v>451</v>
      </c>
      <c r="AQ14" s="72"/>
      <c r="AR14" s="72"/>
      <c r="AS14" s="72"/>
      <c r="AT14" s="72" t="s">
        <v>147</v>
      </c>
      <c r="AU14" s="72" t="s">
        <v>365</v>
      </c>
      <c r="AV14" s="72" t="s">
        <v>365</v>
      </c>
      <c r="AW14" s="81" t="b">
        <f t="shared" si="3"/>
        <v>1</v>
      </c>
      <c r="AX14" s="67"/>
      <c r="AY14" s="67"/>
      <c r="AZ14" s="67"/>
      <c r="BA14" s="67"/>
    </row>
    <row r="15" spans="1:53" ht="51" customHeight="1" x14ac:dyDescent="0.25">
      <c r="A15" s="49" t="s">
        <v>99</v>
      </c>
      <c r="B15" s="163"/>
      <c r="C15" s="170"/>
      <c r="D15" s="170"/>
      <c r="E15" s="160"/>
      <c r="F15" s="16" t="s">
        <v>267</v>
      </c>
      <c r="G15" s="16" t="s">
        <v>378</v>
      </c>
      <c r="H15" s="16" t="s">
        <v>287</v>
      </c>
      <c r="I15" s="109" t="str">
        <f t="shared" ca="1" si="0"/>
        <v>Transport</v>
      </c>
      <c r="J15" s="30">
        <v>3</v>
      </c>
      <c r="K15" s="30"/>
      <c r="L15" s="30"/>
      <c r="M15" s="30"/>
      <c r="N15" s="30"/>
      <c r="O15" s="30"/>
      <c r="P15" s="30"/>
      <c r="Q15" s="30"/>
      <c r="R15" s="16"/>
      <c r="S15" s="14" t="s">
        <v>89</v>
      </c>
      <c r="T15" s="14" t="s">
        <v>88</v>
      </c>
      <c r="U15" s="60" t="s">
        <v>42</v>
      </c>
      <c r="V15" s="15" t="b">
        <v>0</v>
      </c>
      <c r="W15" s="15" t="b">
        <v>1</v>
      </c>
      <c r="X15" s="14" t="s">
        <v>74</v>
      </c>
      <c r="Y15" s="14" t="s">
        <v>188</v>
      </c>
      <c r="Z15" s="19" t="s">
        <v>50</v>
      </c>
      <c r="AA15" s="19"/>
      <c r="AB15" s="14"/>
      <c r="AC15" s="30" t="b">
        <v>1</v>
      </c>
      <c r="AD15" s="30" t="str">
        <f t="shared" ca="1" si="2"/>
        <v>Atténuation</v>
      </c>
      <c r="AE15" s="30">
        <v>3</v>
      </c>
      <c r="AF15" s="30"/>
      <c r="AG15" s="30"/>
      <c r="AH15" s="30"/>
      <c r="AI15" s="30">
        <v>1</v>
      </c>
      <c r="AJ15" s="30"/>
      <c r="AK15" s="30">
        <f t="shared" si="1"/>
        <v>2</v>
      </c>
      <c r="AL15" s="17" t="s">
        <v>41</v>
      </c>
      <c r="AM15" s="17" t="s">
        <v>318</v>
      </c>
      <c r="AN15" s="70" t="s">
        <v>151</v>
      </c>
      <c r="AO15" s="70" t="s">
        <v>328</v>
      </c>
      <c r="AP15" s="70" t="s">
        <v>415</v>
      </c>
      <c r="AQ15" s="82" t="s">
        <v>29</v>
      </c>
      <c r="AR15" s="70"/>
      <c r="AS15" s="70"/>
      <c r="AT15" s="70" t="s">
        <v>167</v>
      </c>
      <c r="AU15" s="70" t="s">
        <v>365</v>
      </c>
      <c r="AV15" s="70" t="s">
        <v>365</v>
      </c>
      <c r="AW15" s="82" t="b">
        <f t="shared" si="3"/>
        <v>1</v>
      </c>
      <c r="AX15" s="65"/>
      <c r="AY15" s="65"/>
      <c r="AZ15" s="65"/>
      <c r="BA15" s="65"/>
    </row>
    <row r="16" spans="1:53" ht="51" customHeight="1" x14ac:dyDescent="0.25">
      <c r="A16" s="49" t="s">
        <v>99</v>
      </c>
      <c r="B16" s="163"/>
      <c r="C16" s="170"/>
      <c r="D16" s="170"/>
      <c r="E16" s="160"/>
      <c r="F16" s="16" t="s">
        <v>268</v>
      </c>
      <c r="G16" s="16" t="s">
        <v>379</v>
      </c>
      <c r="H16" s="16" t="s">
        <v>288</v>
      </c>
      <c r="I16" s="109" t="str">
        <f t="shared" ca="1" si="0"/>
        <v>Transport</v>
      </c>
      <c r="J16" s="30">
        <v>3</v>
      </c>
      <c r="K16" s="30"/>
      <c r="L16" s="30"/>
      <c r="M16" s="30"/>
      <c r="N16" s="30"/>
      <c r="O16" s="30"/>
      <c r="P16" s="30"/>
      <c r="Q16" s="30"/>
      <c r="R16" s="16"/>
      <c r="S16" s="14" t="s">
        <v>89</v>
      </c>
      <c r="T16" s="14" t="s">
        <v>88</v>
      </c>
      <c r="U16" s="60" t="s">
        <v>42</v>
      </c>
      <c r="V16" s="15" t="b">
        <v>0</v>
      </c>
      <c r="W16" s="15" t="b">
        <v>1</v>
      </c>
      <c r="X16" s="14" t="s">
        <v>74</v>
      </c>
      <c r="Y16" s="14" t="s">
        <v>188</v>
      </c>
      <c r="Z16" s="19" t="s">
        <v>50</v>
      </c>
      <c r="AA16" s="19"/>
      <c r="AB16" s="14"/>
      <c r="AC16" s="30" t="b">
        <v>1</v>
      </c>
      <c r="AD16" s="30" t="str">
        <f t="shared" ca="1" si="2"/>
        <v>Atténuation</v>
      </c>
      <c r="AE16" s="30">
        <v>3</v>
      </c>
      <c r="AF16" s="30"/>
      <c r="AG16" s="30"/>
      <c r="AH16" s="30"/>
      <c r="AI16" s="30">
        <v>1</v>
      </c>
      <c r="AJ16" s="30"/>
      <c r="AK16" s="30">
        <f t="shared" si="1"/>
        <v>2</v>
      </c>
      <c r="AL16" s="17" t="s">
        <v>41</v>
      </c>
      <c r="AM16" s="17" t="s">
        <v>319</v>
      </c>
      <c r="AN16" s="70" t="s">
        <v>151</v>
      </c>
      <c r="AO16" s="70" t="s">
        <v>329</v>
      </c>
      <c r="AP16" s="150" t="s">
        <v>409</v>
      </c>
      <c r="AQ16" s="151" t="s">
        <v>29</v>
      </c>
      <c r="AR16" s="70"/>
      <c r="AS16" s="70"/>
      <c r="AT16" s="70" t="s">
        <v>167</v>
      </c>
      <c r="AU16" s="70" t="s">
        <v>365</v>
      </c>
      <c r="AV16" s="70" t="s">
        <v>365</v>
      </c>
      <c r="AW16" s="82" t="b">
        <f t="shared" si="3"/>
        <v>1</v>
      </c>
      <c r="AX16" s="65"/>
      <c r="AY16" s="65"/>
      <c r="AZ16" s="65"/>
      <c r="BA16" s="65"/>
    </row>
    <row r="17" spans="1:53" ht="38.25" x14ac:dyDescent="0.25">
      <c r="A17" s="50" t="s">
        <v>99</v>
      </c>
      <c r="B17" s="164"/>
      <c r="C17" s="172"/>
      <c r="D17" s="172"/>
      <c r="E17" s="161"/>
      <c r="F17" s="28" t="s">
        <v>269</v>
      </c>
      <c r="G17" s="28" t="s">
        <v>522</v>
      </c>
      <c r="H17" s="24" t="s">
        <v>521</v>
      </c>
      <c r="I17" s="111" t="str">
        <f t="shared" ca="1" si="0"/>
        <v>Transport</v>
      </c>
      <c r="J17" s="31">
        <v>3</v>
      </c>
      <c r="K17" s="31"/>
      <c r="L17" s="31"/>
      <c r="M17" s="31"/>
      <c r="N17" s="31"/>
      <c r="O17" s="31"/>
      <c r="P17" s="31"/>
      <c r="Q17" s="31"/>
      <c r="R17" s="24"/>
      <c r="S17" s="23" t="s">
        <v>14</v>
      </c>
      <c r="T17" s="23" t="s">
        <v>92</v>
      </c>
      <c r="U17" s="47" t="s">
        <v>38</v>
      </c>
      <c r="V17" s="25" t="b">
        <v>0</v>
      </c>
      <c r="W17" s="25" t="b">
        <v>1</v>
      </c>
      <c r="X17" s="27" t="s">
        <v>44</v>
      </c>
      <c r="Y17" s="27" t="s">
        <v>193</v>
      </c>
      <c r="Z17" s="26" t="s">
        <v>51</v>
      </c>
      <c r="AA17" s="26"/>
      <c r="AB17" s="27"/>
      <c r="AC17" s="31" t="b">
        <v>1</v>
      </c>
      <c r="AD17" s="31" t="str">
        <f t="shared" ca="1" si="2"/>
        <v>Atténuation</v>
      </c>
      <c r="AE17" s="31">
        <v>3</v>
      </c>
      <c r="AF17" s="31"/>
      <c r="AG17" s="31"/>
      <c r="AH17" s="31"/>
      <c r="AI17" s="31">
        <v>1</v>
      </c>
      <c r="AJ17" s="31"/>
      <c r="AK17" s="31">
        <f t="shared" si="1"/>
        <v>2</v>
      </c>
      <c r="AL17" s="29" t="s">
        <v>15</v>
      </c>
      <c r="AM17" s="29"/>
      <c r="AN17" s="71"/>
      <c r="AO17" s="77" t="s">
        <v>199</v>
      </c>
      <c r="AP17" s="143" t="s">
        <v>496</v>
      </c>
      <c r="AQ17" s="77"/>
      <c r="AR17" s="71"/>
      <c r="AS17" s="71"/>
      <c r="AT17" s="71"/>
      <c r="AU17" s="71" t="s">
        <v>370</v>
      </c>
      <c r="AV17" s="71" t="s">
        <v>365</v>
      </c>
      <c r="AW17" s="83" t="b">
        <f t="shared" si="3"/>
        <v>0</v>
      </c>
      <c r="AX17" s="66"/>
      <c r="AY17" s="66"/>
      <c r="AZ17" s="66"/>
      <c r="BA17" s="66"/>
    </row>
    <row r="18" spans="1:53" ht="51" customHeight="1" x14ac:dyDescent="0.25">
      <c r="A18" s="56" t="s">
        <v>99</v>
      </c>
      <c r="B18" s="162" t="s">
        <v>531</v>
      </c>
      <c r="C18" s="165" t="s">
        <v>526</v>
      </c>
      <c r="D18" s="165" t="s">
        <v>525</v>
      </c>
      <c r="E18" s="159"/>
      <c r="F18" s="40" t="s">
        <v>238</v>
      </c>
      <c r="G18" s="40" t="s">
        <v>301</v>
      </c>
      <c r="H18" s="40" t="s">
        <v>382</v>
      </c>
      <c r="I18" s="106" t="str">
        <f t="shared" ca="1" si="0"/>
        <v>Transport</v>
      </c>
      <c r="J18" s="41">
        <v>3</v>
      </c>
      <c r="K18" s="41"/>
      <c r="L18" s="41"/>
      <c r="M18" s="41"/>
      <c r="N18" s="41"/>
      <c r="O18" s="41"/>
      <c r="P18" s="41"/>
      <c r="Q18" s="41"/>
      <c r="R18" s="52"/>
      <c r="S18" s="38" t="s">
        <v>180</v>
      </c>
      <c r="T18" s="38" t="s">
        <v>181</v>
      </c>
      <c r="U18" s="59" t="s">
        <v>26</v>
      </c>
      <c r="V18" s="39" t="b">
        <v>0</v>
      </c>
      <c r="W18" s="39" t="b">
        <v>1</v>
      </c>
      <c r="X18" s="38" t="s">
        <v>237</v>
      </c>
      <c r="Y18" s="43"/>
      <c r="Z18" s="52" t="s">
        <v>50</v>
      </c>
      <c r="AA18" s="52"/>
      <c r="AB18" s="43"/>
      <c r="AC18" s="41" t="b">
        <v>1</v>
      </c>
      <c r="AD18" s="41" t="str">
        <f t="shared" ca="1" si="2"/>
        <v>Atténuation</v>
      </c>
      <c r="AE18" s="41">
        <v>3</v>
      </c>
      <c r="AF18" s="41"/>
      <c r="AG18" s="41"/>
      <c r="AH18" s="41"/>
      <c r="AI18" s="41">
        <v>1</v>
      </c>
      <c r="AJ18" s="41"/>
      <c r="AK18" s="41">
        <f t="shared" si="1"/>
        <v>2</v>
      </c>
      <c r="AL18" s="42" t="s">
        <v>13</v>
      </c>
      <c r="AM18" s="42" t="s">
        <v>320</v>
      </c>
      <c r="AN18" s="72" t="s">
        <v>182</v>
      </c>
      <c r="AO18" s="72" t="s">
        <v>330</v>
      </c>
      <c r="AP18" s="72" t="s">
        <v>497</v>
      </c>
      <c r="AQ18" s="72"/>
      <c r="AR18" s="72" t="s">
        <v>220</v>
      </c>
      <c r="AS18" s="72"/>
      <c r="AT18" s="72" t="s">
        <v>147</v>
      </c>
      <c r="AU18" s="72" t="s">
        <v>365</v>
      </c>
      <c r="AV18" s="72" t="s">
        <v>365</v>
      </c>
      <c r="AW18" s="81" t="b">
        <f t="shared" si="3"/>
        <v>1</v>
      </c>
      <c r="AX18" s="67"/>
      <c r="AY18" s="67"/>
      <c r="AZ18" s="67"/>
      <c r="BA18" s="67"/>
    </row>
    <row r="19" spans="1:53" ht="51" customHeight="1" x14ac:dyDescent="0.25">
      <c r="A19" s="85" t="s">
        <v>99</v>
      </c>
      <c r="B19" s="163"/>
      <c r="C19" s="166"/>
      <c r="D19" s="166"/>
      <c r="E19" s="160"/>
      <c r="F19" s="16" t="s">
        <v>300</v>
      </c>
      <c r="G19" s="16" t="s">
        <v>299</v>
      </c>
      <c r="H19" s="16" t="s">
        <v>383</v>
      </c>
      <c r="I19" s="109" t="str">
        <f t="shared" ca="1" si="0"/>
        <v>Transport</v>
      </c>
      <c r="J19" s="30">
        <v>3</v>
      </c>
      <c r="K19" s="30"/>
      <c r="L19" s="30"/>
      <c r="M19" s="30"/>
      <c r="N19" s="30"/>
      <c r="O19" s="30"/>
      <c r="P19" s="30"/>
      <c r="Q19" s="30"/>
      <c r="R19" s="16"/>
      <c r="S19" s="14"/>
      <c r="T19" s="14"/>
      <c r="U19" s="60"/>
      <c r="V19" s="15" t="b">
        <v>0</v>
      </c>
      <c r="W19" s="15" t="b">
        <v>1</v>
      </c>
      <c r="X19" s="14" t="s">
        <v>73</v>
      </c>
      <c r="Y19" s="18"/>
      <c r="Z19" s="19" t="s">
        <v>50</v>
      </c>
      <c r="AA19" s="19"/>
      <c r="AB19" s="18"/>
      <c r="AC19" s="30" t="b">
        <v>1</v>
      </c>
      <c r="AD19" s="30" t="str">
        <f t="shared" ca="1" si="2"/>
        <v>Atténuation</v>
      </c>
      <c r="AE19" s="30">
        <v>3</v>
      </c>
      <c r="AF19" s="30"/>
      <c r="AG19" s="30"/>
      <c r="AH19" s="30"/>
      <c r="AI19" s="30">
        <v>1</v>
      </c>
      <c r="AJ19" s="30"/>
      <c r="AK19" s="30">
        <f t="shared" si="1"/>
        <v>2</v>
      </c>
      <c r="AL19" s="17"/>
      <c r="AM19" s="17" t="s">
        <v>321</v>
      </c>
      <c r="AN19" s="70"/>
      <c r="AO19" s="70" t="s">
        <v>331</v>
      </c>
      <c r="AP19" s="70" t="s">
        <v>453</v>
      </c>
      <c r="AQ19" s="70"/>
      <c r="AR19" s="70"/>
      <c r="AS19" s="70"/>
      <c r="AT19" s="70"/>
      <c r="AU19" s="70" t="s">
        <v>365</v>
      </c>
      <c r="AV19" s="70" t="s">
        <v>365</v>
      </c>
      <c r="AW19" s="82" t="b">
        <f t="shared" si="3"/>
        <v>1</v>
      </c>
      <c r="AX19" s="65"/>
      <c r="AY19" s="65"/>
      <c r="AZ19" s="65"/>
      <c r="BA19" s="65"/>
    </row>
    <row r="20" spans="1:53" ht="51" x14ac:dyDescent="0.25">
      <c r="A20" s="49" t="s">
        <v>99</v>
      </c>
      <c r="B20" s="163"/>
      <c r="C20" s="166"/>
      <c r="D20" s="166"/>
      <c r="E20" s="160"/>
      <c r="F20" s="16" t="s">
        <v>362</v>
      </c>
      <c r="G20" s="16" t="s">
        <v>515</v>
      </c>
      <c r="H20" s="16" t="s">
        <v>289</v>
      </c>
      <c r="I20" s="109" t="str">
        <f t="shared" ca="1" si="0"/>
        <v>Transport</v>
      </c>
      <c r="J20" s="30">
        <v>3</v>
      </c>
      <c r="K20" s="30"/>
      <c r="L20" s="30"/>
      <c r="M20" s="30"/>
      <c r="N20" s="30"/>
      <c r="O20" s="30"/>
      <c r="P20" s="30"/>
      <c r="Q20" s="30"/>
      <c r="R20" s="16"/>
      <c r="S20" s="14" t="s">
        <v>194</v>
      </c>
      <c r="T20" s="14" t="s">
        <v>195</v>
      </c>
      <c r="U20" s="60"/>
      <c r="V20" s="15" t="b">
        <v>0</v>
      </c>
      <c r="W20" s="15" t="b">
        <v>0</v>
      </c>
      <c r="X20" s="18" t="s">
        <v>44</v>
      </c>
      <c r="Y20" s="18" t="s">
        <v>193</v>
      </c>
      <c r="Z20" s="19" t="s">
        <v>51</v>
      </c>
      <c r="AA20" s="19"/>
      <c r="AB20" s="18"/>
      <c r="AC20" s="30" t="b">
        <v>1</v>
      </c>
      <c r="AD20" s="30" t="str">
        <f t="shared" ca="1" si="2"/>
        <v>Atténuation</v>
      </c>
      <c r="AE20" s="30">
        <v>3</v>
      </c>
      <c r="AF20" s="30"/>
      <c r="AG20" s="30"/>
      <c r="AH20" s="30"/>
      <c r="AI20" s="30"/>
      <c r="AJ20" s="30"/>
      <c r="AK20" s="30">
        <f t="shared" si="1"/>
        <v>1</v>
      </c>
      <c r="AL20" s="17"/>
      <c r="AM20" s="17"/>
      <c r="AN20" s="70"/>
      <c r="AO20" s="70" t="s">
        <v>219</v>
      </c>
      <c r="AP20" s="70" t="s">
        <v>452</v>
      </c>
      <c r="AQ20" s="70"/>
      <c r="AR20" s="70"/>
      <c r="AS20" s="70"/>
      <c r="AT20" s="70" t="s">
        <v>147</v>
      </c>
      <c r="AU20" s="70" t="s">
        <v>365</v>
      </c>
      <c r="AV20" s="70" t="s">
        <v>365</v>
      </c>
      <c r="AW20" s="82" t="b">
        <f t="shared" si="3"/>
        <v>1</v>
      </c>
      <c r="AX20" s="65"/>
      <c r="AY20" s="65"/>
      <c r="AZ20" s="65"/>
      <c r="BA20" s="65"/>
    </row>
    <row r="21" spans="1:53" ht="76.5" x14ac:dyDescent="0.25">
      <c r="A21" s="49" t="s">
        <v>98</v>
      </c>
      <c r="B21" s="163"/>
      <c r="C21" s="166"/>
      <c r="D21" s="166"/>
      <c r="E21" s="160"/>
      <c r="F21" s="16" t="s">
        <v>239</v>
      </c>
      <c r="G21" s="16" t="s">
        <v>523</v>
      </c>
      <c r="H21" s="16" t="s">
        <v>524</v>
      </c>
      <c r="I21" s="109" t="str">
        <f t="shared" ca="1" si="0"/>
        <v>Transport</v>
      </c>
      <c r="J21" s="30">
        <v>3</v>
      </c>
      <c r="K21" s="30"/>
      <c r="L21" s="30"/>
      <c r="M21" s="30"/>
      <c r="N21" s="30"/>
      <c r="O21" s="30"/>
      <c r="P21" s="30"/>
      <c r="Q21" s="30"/>
      <c r="R21" s="16"/>
      <c r="S21" s="14" t="s">
        <v>36</v>
      </c>
      <c r="T21" s="14" t="s">
        <v>81</v>
      </c>
      <c r="U21" s="60" t="s">
        <v>35</v>
      </c>
      <c r="V21" s="15" t="b">
        <v>0</v>
      </c>
      <c r="W21" s="15" t="b">
        <v>1</v>
      </c>
      <c r="X21" s="18" t="s">
        <v>73</v>
      </c>
      <c r="Y21" s="18" t="s">
        <v>193</v>
      </c>
      <c r="Z21" s="16" t="s">
        <v>49</v>
      </c>
      <c r="AA21" s="16"/>
      <c r="AB21" s="18"/>
      <c r="AC21" s="30" t="b">
        <v>1</v>
      </c>
      <c r="AD21" s="30" t="str">
        <f t="shared" ca="1" si="2"/>
        <v>Atténuation</v>
      </c>
      <c r="AE21" s="30">
        <v>3</v>
      </c>
      <c r="AF21" s="30"/>
      <c r="AG21" s="30"/>
      <c r="AH21" s="30"/>
      <c r="AI21" s="30">
        <v>1</v>
      </c>
      <c r="AJ21" s="30"/>
      <c r="AK21" s="30">
        <f t="shared" si="1"/>
        <v>2</v>
      </c>
      <c r="AL21" s="17" t="s">
        <v>43</v>
      </c>
      <c r="AM21" s="17" t="s">
        <v>322</v>
      </c>
      <c r="AN21" s="70" t="s">
        <v>150</v>
      </c>
      <c r="AO21" s="70" t="s">
        <v>216</v>
      </c>
      <c r="AP21" s="70" t="s">
        <v>450</v>
      </c>
      <c r="AQ21" s="70"/>
      <c r="AR21" s="70"/>
      <c r="AS21" s="70"/>
      <c r="AT21" s="70" t="s">
        <v>169</v>
      </c>
      <c r="AU21" s="70" t="s">
        <v>365</v>
      </c>
      <c r="AV21" s="70" t="s">
        <v>365</v>
      </c>
      <c r="AW21" s="82" t="b">
        <f t="shared" si="3"/>
        <v>1</v>
      </c>
      <c r="AX21" s="65"/>
      <c r="AY21" s="65"/>
      <c r="AZ21" s="65"/>
      <c r="BA21" s="65"/>
    </row>
    <row r="22" spans="1:53" ht="25.5" x14ac:dyDescent="0.25">
      <c r="A22" s="49" t="s">
        <v>98</v>
      </c>
      <c r="B22" s="175"/>
      <c r="C22" s="167"/>
      <c r="D22" s="167"/>
      <c r="E22" s="173"/>
      <c r="F22" s="16" t="s">
        <v>530</v>
      </c>
      <c r="G22" s="117" t="s">
        <v>355</v>
      </c>
      <c r="H22" s="114"/>
      <c r="I22" s="109" t="str">
        <f t="shared" ca="1" si="0"/>
        <v>Transport</v>
      </c>
      <c r="J22" s="116">
        <v>3</v>
      </c>
      <c r="K22" s="116"/>
      <c r="L22" s="116"/>
      <c r="M22" s="116"/>
      <c r="N22" s="116"/>
      <c r="O22" s="116"/>
      <c r="P22" s="116"/>
      <c r="Q22" s="116"/>
      <c r="R22" s="114"/>
      <c r="S22" s="127"/>
      <c r="T22" s="127"/>
      <c r="U22" s="138"/>
      <c r="V22" s="131" t="b">
        <v>0</v>
      </c>
      <c r="W22" s="131" t="b">
        <v>1</v>
      </c>
      <c r="X22" s="140"/>
      <c r="Y22" s="140"/>
      <c r="Z22" s="114"/>
      <c r="AA22" s="114"/>
      <c r="AB22" s="140"/>
      <c r="AC22" s="116" t="b">
        <v>1</v>
      </c>
      <c r="AD22" s="30" t="str">
        <f t="shared" ca="1" si="2"/>
        <v>Pollution / santé</v>
      </c>
      <c r="AE22" s="116"/>
      <c r="AF22" s="116"/>
      <c r="AG22" s="116"/>
      <c r="AH22" s="116"/>
      <c r="AI22" s="116">
        <v>3</v>
      </c>
      <c r="AJ22" s="116"/>
      <c r="AK22" s="116">
        <f t="shared" si="1"/>
        <v>1</v>
      </c>
      <c r="AL22" s="133"/>
      <c r="AM22" s="133"/>
      <c r="AN22" s="134"/>
      <c r="AO22" s="134" t="s">
        <v>221</v>
      </c>
      <c r="AP22" s="143" t="s">
        <v>496</v>
      </c>
      <c r="AQ22" s="134"/>
      <c r="AR22" s="134"/>
      <c r="AS22" s="134"/>
      <c r="AT22" s="134" t="s">
        <v>158</v>
      </c>
      <c r="AU22" s="134"/>
      <c r="AV22" s="134" t="s">
        <v>370</v>
      </c>
      <c r="AW22" s="142" t="b">
        <f t="shared" si="3"/>
        <v>0</v>
      </c>
      <c r="AX22" s="135"/>
      <c r="AY22" s="135"/>
      <c r="AZ22" s="135"/>
      <c r="BA22" s="135"/>
    </row>
    <row r="23" spans="1:53" ht="38.25" customHeight="1" x14ac:dyDescent="0.25">
      <c r="A23" s="50" t="s">
        <v>99</v>
      </c>
      <c r="B23" s="164"/>
      <c r="C23" s="168"/>
      <c r="D23" s="168"/>
      <c r="E23" s="161"/>
      <c r="F23" s="28" t="s">
        <v>307</v>
      </c>
      <c r="G23" s="32" t="s">
        <v>303</v>
      </c>
      <c r="H23" s="32" t="s">
        <v>304</v>
      </c>
      <c r="I23" s="111" t="str">
        <f t="shared" ca="1" si="0"/>
        <v>Transport</v>
      </c>
      <c r="J23" s="31">
        <v>3</v>
      </c>
      <c r="K23" s="31"/>
      <c r="L23" s="31"/>
      <c r="M23" s="31"/>
      <c r="N23" s="31"/>
      <c r="O23" s="31"/>
      <c r="P23" s="31"/>
      <c r="Q23" s="31"/>
      <c r="R23" s="32"/>
      <c r="S23" s="23" t="s">
        <v>86</v>
      </c>
      <c r="T23" s="23" t="s">
        <v>87</v>
      </c>
      <c r="U23" s="47" t="s">
        <v>25</v>
      </c>
      <c r="V23" s="25" t="b">
        <v>0</v>
      </c>
      <c r="W23" s="25" t="b">
        <v>0</v>
      </c>
      <c r="X23" s="23" t="s">
        <v>75</v>
      </c>
      <c r="Y23" s="23" t="s">
        <v>193</v>
      </c>
      <c r="Z23" s="26" t="s">
        <v>50</v>
      </c>
      <c r="AA23" s="26" t="s">
        <v>192</v>
      </c>
      <c r="AB23" s="23"/>
      <c r="AC23" s="31" t="b">
        <v>0</v>
      </c>
      <c r="AD23" s="31" t="str">
        <f t="shared" ca="1" si="2"/>
        <v>Atténuation</v>
      </c>
      <c r="AE23" s="31">
        <v>3</v>
      </c>
      <c r="AF23" s="31"/>
      <c r="AG23" s="31"/>
      <c r="AH23" s="31"/>
      <c r="AI23" s="31"/>
      <c r="AJ23" s="31"/>
      <c r="AK23" s="31">
        <f t="shared" si="1"/>
        <v>1</v>
      </c>
      <c r="AL23" s="29"/>
      <c r="AM23" s="29"/>
      <c r="AN23" s="71"/>
      <c r="AO23" s="71" t="s">
        <v>223</v>
      </c>
      <c r="AP23" s="71" t="s">
        <v>416</v>
      </c>
      <c r="AQ23" s="83" t="s">
        <v>29</v>
      </c>
      <c r="AR23" s="71"/>
      <c r="AS23" s="71"/>
      <c r="AT23" s="71"/>
      <c r="AU23" s="71" t="s">
        <v>365</v>
      </c>
      <c r="AV23" s="71" t="s">
        <v>365</v>
      </c>
      <c r="AW23" s="83" t="b">
        <f t="shared" si="3"/>
        <v>1</v>
      </c>
      <c r="AX23" s="66"/>
      <c r="AY23" s="66"/>
      <c r="AZ23" s="66"/>
      <c r="BA23" s="66"/>
    </row>
    <row r="24" spans="1:53" ht="38.25" customHeight="1" x14ac:dyDescent="0.25">
      <c r="A24" s="56" t="s">
        <v>99</v>
      </c>
      <c r="B24" s="176" t="s">
        <v>532</v>
      </c>
      <c r="C24" s="179" t="s">
        <v>298</v>
      </c>
      <c r="D24" s="179" t="s">
        <v>297</v>
      </c>
      <c r="E24" s="86" t="s">
        <v>414</v>
      </c>
      <c r="F24" s="14" t="s">
        <v>290</v>
      </c>
      <c r="G24" s="22" t="s">
        <v>348</v>
      </c>
      <c r="H24" s="22" t="s">
        <v>302</v>
      </c>
      <c r="I24" s="109" t="str">
        <f t="shared" ca="1" si="0"/>
        <v>Transport</v>
      </c>
      <c r="J24" s="30">
        <v>3</v>
      </c>
      <c r="K24" s="30"/>
      <c r="L24" s="30"/>
      <c r="M24" s="30"/>
      <c r="N24" s="30"/>
      <c r="O24" s="30"/>
      <c r="P24" s="30"/>
      <c r="Q24" s="30"/>
      <c r="R24" s="22"/>
      <c r="S24" s="14"/>
      <c r="T24" s="14"/>
      <c r="U24" s="60"/>
      <c r="V24" s="15" t="b">
        <v>0</v>
      </c>
      <c r="W24" s="15" t="b">
        <v>0</v>
      </c>
      <c r="X24" s="14"/>
      <c r="Y24" s="14"/>
      <c r="Z24" s="19"/>
      <c r="AA24" s="19"/>
      <c r="AB24" s="14"/>
      <c r="AC24" s="30" t="b">
        <v>1</v>
      </c>
      <c r="AD24" s="30" t="str">
        <f t="shared" ca="1" si="2"/>
        <v>Atténuation</v>
      </c>
      <c r="AE24" s="30">
        <v>3</v>
      </c>
      <c r="AF24" s="30"/>
      <c r="AG24" s="30"/>
      <c r="AH24" s="30"/>
      <c r="AI24" s="30"/>
      <c r="AJ24" s="30"/>
      <c r="AK24" s="30">
        <f t="shared" si="1"/>
        <v>1</v>
      </c>
      <c r="AL24" s="17"/>
      <c r="AM24" s="17"/>
      <c r="AN24" s="70"/>
      <c r="AO24" s="80" t="s">
        <v>199</v>
      </c>
      <c r="AP24" s="143" t="s">
        <v>496</v>
      </c>
      <c r="AQ24" s="80"/>
      <c r="AR24" s="70"/>
      <c r="AS24" s="70"/>
      <c r="AT24" s="70"/>
      <c r="AU24" s="70" t="s">
        <v>372</v>
      </c>
      <c r="AV24" s="70" t="s">
        <v>365</v>
      </c>
      <c r="AW24" s="82" t="b">
        <f t="shared" si="3"/>
        <v>0</v>
      </c>
      <c r="AX24" s="65"/>
      <c r="AY24" s="65"/>
      <c r="AZ24" s="65"/>
      <c r="BA24" s="65"/>
    </row>
    <row r="25" spans="1:53" ht="38.25" customHeight="1" x14ac:dyDescent="0.25">
      <c r="A25" s="49" t="s">
        <v>99</v>
      </c>
      <c r="B25" s="177"/>
      <c r="C25" s="180"/>
      <c r="D25" s="180"/>
      <c r="E25" s="87"/>
      <c r="F25" s="16" t="s">
        <v>108</v>
      </c>
      <c r="G25" s="100" t="s">
        <v>528</v>
      </c>
      <c r="H25" s="22" t="s">
        <v>527</v>
      </c>
      <c r="I25" s="109" t="str">
        <f t="shared" ca="1" si="0"/>
        <v>Transport</v>
      </c>
      <c r="J25" s="30">
        <v>3</v>
      </c>
      <c r="K25" s="30"/>
      <c r="L25" s="30"/>
      <c r="M25" s="30"/>
      <c r="N25" s="30"/>
      <c r="O25" s="30"/>
      <c r="P25" s="30"/>
      <c r="Q25" s="30"/>
      <c r="R25" s="22"/>
      <c r="S25" s="14" t="s">
        <v>20</v>
      </c>
      <c r="T25" s="14" t="s">
        <v>94</v>
      </c>
      <c r="U25" s="60"/>
      <c r="V25" s="15" t="b">
        <v>0</v>
      </c>
      <c r="W25" s="15" t="b">
        <v>0</v>
      </c>
      <c r="X25" s="16" t="s">
        <v>20</v>
      </c>
      <c r="Y25" s="16" t="s">
        <v>193</v>
      </c>
      <c r="Z25" s="19" t="s">
        <v>51</v>
      </c>
      <c r="AA25" s="19"/>
      <c r="AB25" s="16"/>
      <c r="AC25" s="30" t="b">
        <v>1</v>
      </c>
      <c r="AD25" s="30" t="str">
        <f t="shared" ca="1" si="2"/>
        <v>Atténuation</v>
      </c>
      <c r="AE25" s="30">
        <v>3</v>
      </c>
      <c r="AF25" s="30"/>
      <c r="AG25" s="30"/>
      <c r="AH25" s="30"/>
      <c r="AI25" s="30">
        <v>1</v>
      </c>
      <c r="AJ25" s="30"/>
      <c r="AK25" s="30">
        <f t="shared" si="1"/>
        <v>2</v>
      </c>
      <c r="AL25" s="17"/>
      <c r="AM25" s="17"/>
      <c r="AN25" s="70"/>
      <c r="AO25" s="80" t="s">
        <v>199</v>
      </c>
      <c r="AP25" s="143" t="s">
        <v>496</v>
      </c>
      <c r="AQ25" s="80"/>
      <c r="AR25" s="70"/>
      <c r="AS25" s="70"/>
      <c r="AT25" s="70"/>
      <c r="AU25" s="70" t="s">
        <v>372</v>
      </c>
      <c r="AV25" s="70" t="s">
        <v>365</v>
      </c>
      <c r="AW25" s="82" t="b">
        <f t="shared" si="3"/>
        <v>0</v>
      </c>
      <c r="AX25" s="65"/>
      <c r="AY25" s="65"/>
      <c r="AZ25" s="65"/>
      <c r="BA25" s="65"/>
    </row>
    <row r="26" spans="1:53" ht="38.25" customHeight="1" x14ac:dyDescent="0.25">
      <c r="A26" s="49" t="s">
        <v>99</v>
      </c>
      <c r="B26" s="177"/>
      <c r="C26" s="180"/>
      <c r="D26" s="180"/>
      <c r="E26" s="141"/>
      <c r="F26" s="16" t="s">
        <v>363</v>
      </c>
      <c r="G26" s="113" t="s">
        <v>357</v>
      </c>
      <c r="H26" s="136"/>
      <c r="I26" s="109" t="str">
        <f t="shared" ca="1" si="0"/>
        <v>Transport</v>
      </c>
      <c r="J26" s="116">
        <v>3</v>
      </c>
      <c r="K26" s="116"/>
      <c r="L26" s="116"/>
      <c r="M26" s="116"/>
      <c r="N26" s="116"/>
      <c r="O26" s="116"/>
      <c r="P26" s="116"/>
      <c r="Q26" s="116"/>
      <c r="R26" s="137"/>
      <c r="S26" s="127"/>
      <c r="T26" s="127"/>
      <c r="U26" s="138"/>
      <c r="V26" s="131" t="b">
        <v>0</v>
      </c>
      <c r="W26" s="131" t="b">
        <v>1</v>
      </c>
      <c r="X26" s="114"/>
      <c r="Y26" s="114"/>
      <c r="Z26" s="132"/>
      <c r="AA26" s="132"/>
      <c r="AB26" s="114"/>
      <c r="AC26" s="30" t="b">
        <v>1</v>
      </c>
      <c r="AD26" s="30" t="str">
        <f t="shared" ca="1" si="2"/>
        <v>Pollution / santé</v>
      </c>
      <c r="AE26" s="116"/>
      <c r="AF26" s="116"/>
      <c r="AG26" s="116"/>
      <c r="AH26" s="116"/>
      <c r="AI26" s="116">
        <v>3</v>
      </c>
      <c r="AJ26" s="116"/>
      <c r="AK26" s="30">
        <f t="shared" si="1"/>
        <v>1</v>
      </c>
      <c r="AL26" s="133"/>
      <c r="AM26" s="133"/>
      <c r="AN26" s="134"/>
      <c r="AO26" s="139"/>
      <c r="AP26" s="139"/>
      <c r="AQ26" s="139"/>
      <c r="AR26" s="134"/>
      <c r="AS26" s="134"/>
      <c r="AT26" s="134"/>
      <c r="AU26" s="134" t="s">
        <v>370</v>
      </c>
      <c r="AV26" s="134" t="s">
        <v>370</v>
      </c>
      <c r="AW26" s="142" t="b">
        <f t="shared" si="3"/>
        <v>0</v>
      </c>
      <c r="AX26" s="135"/>
      <c r="AY26" s="135"/>
      <c r="AZ26" s="135"/>
      <c r="BA26" s="135"/>
    </row>
    <row r="27" spans="1:53" ht="38.25" customHeight="1" x14ac:dyDescent="0.25">
      <c r="A27" s="126" t="s">
        <v>99</v>
      </c>
      <c r="B27" s="177"/>
      <c r="C27" s="180"/>
      <c r="D27" s="180"/>
      <c r="E27" s="141"/>
      <c r="F27" s="16" t="s">
        <v>356</v>
      </c>
      <c r="G27" s="113" t="s">
        <v>357</v>
      </c>
      <c r="H27" s="136"/>
      <c r="I27" s="109" t="str">
        <f t="shared" ca="1" si="0"/>
        <v>Transport</v>
      </c>
      <c r="J27" s="116">
        <v>3</v>
      </c>
      <c r="K27" s="116"/>
      <c r="L27" s="116"/>
      <c r="M27" s="116"/>
      <c r="N27" s="116"/>
      <c r="O27" s="116"/>
      <c r="P27" s="116"/>
      <c r="Q27" s="116"/>
      <c r="R27" s="137"/>
      <c r="S27" s="127"/>
      <c r="T27" s="127"/>
      <c r="U27" s="138"/>
      <c r="V27" s="131" t="b">
        <v>0</v>
      </c>
      <c r="W27" s="131" t="b">
        <v>0</v>
      </c>
      <c r="X27" s="114"/>
      <c r="Y27" s="114"/>
      <c r="Z27" s="132"/>
      <c r="AA27" s="132"/>
      <c r="AB27" s="114"/>
      <c r="AC27" s="116" t="b">
        <v>1</v>
      </c>
      <c r="AD27" s="30" t="str">
        <f t="shared" ca="1" si="2"/>
        <v>Pollution / santé</v>
      </c>
      <c r="AE27" s="116"/>
      <c r="AF27" s="116"/>
      <c r="AG27" s="116"/>
      <c r="AH27" s="116"/>
      <c r="AI27" s="116">
        <v>3</v>
      </c>
      <c r="AJ27" s="116"/>
      <c r="AK27" s="30">
        <f t="shared" si="1"/>
        <v>1</v>
      </c>
      <c r="AL27" s="133"/>
      <c r="AM27" s="133"/>
      <c r="AN27" s="134"/>
      <c r="AO27" s="139"/>
      <c r="AP27" s="139"/>
      <c r="AQ27" s="139"/>
      <c r="AR27" s="134"/>
      <c r="AS27" s="134"/>
      <c r="AT27" s="134"/>
      <c r="AU27" s="134" t="s">
        <v>370</v>
      </c>
      <c r="AV27" s="134" t="s">
        <v>370</v>
      </c>
      <c r="AW27" s="142" t="b">
        <f t="shared" si="3"/>
        <v>0</v>
      </c>
      <c r="AX27" s="135"/>
      <c r="AY27" s="135"/>
      <c r="AZ27" s="135"/>
      <c r="BA27" s="135"/>
    </row>
    <row r="28" spans="1:53" ht="38.25" customHeight="1" x14ac:dyDescent="0.25">
      <c r="A28" s="50" t="s">
        <v>99</v>
      </c>
      <c r="B28" s="178"/>
      <c r="C28" s="181"/>
      <c r="D28" s="181"/>
      <c r="E28" s="88"/>
      <c r="F28" s="28" t="s">
        <v>270</v>
      </c>
      <c r="G28" s="33" t="s">
        <v>517</v>
      </c>
      <c r="H28" s="33" t="s">
        <v>516</v>
      </c>
      <c r="I28" s="111" t="str">
        <f t="shared" ca="1" si="0"/>
        <v>Transport</v>
      </c>
      <c r="J28" s="31">
        <v>3</v>
      </c>
      <c r="K28" s="31"/>
      <c r="L28" s="31"/>
      <c r="M28" s="31"/>
      <c r="N28" s="31"/>
      <c r="O28" s="31"/>
      <c r="P28" s="31"/>
      <c r="Q28" s="31"/>
      <c r="R28" s="33"/>
      <c r="S28" s="23" t="s">
        <v>40</v>
      </c>
      <c r="T28" s="23" t="s">
        <v>93</v>
      </c>
      <c r="U28" s="47" t="s">
        <v>27</v>
      </c>
      <c r="V28" s="25" t="b">
        <v>0</v>
      </c>
      <c r="W28" s="25" t="b">
        <v>0</v>
      </c>
      <c r="X28" s="23" t="s">
        <v>76</v>
      </c>
      <c r="Y28" s="23" t="s">
        <v>193</v>
      </c>
      <c r="Z28" s="26" t="s">
        <v>50</v>
      </c>
      <c r="AA28" s="26" t="s">
        <v>192</v>
      </c>
      <c r="AB28" s="23"/>
      <c r="AC28" s="31" t="b">
        <v>1</v>
      </c>
      <c r="AD28" s="31" t="str">
        <f t="shared" ca="1" si="2"/>
        <v>Mixte</v>
      </c>
      <c r="AE28" s="31">
        <v>3</v>
      </c>
      <c r="AF28" s="31"/>
      <c r="AG28" s="31"/>
      <c r="AH28" s="31"/>
      <c r="AI28" s="31">
        <v>3</v>
      </c>
      <c r="AJ28" s="31"/>
      <c r="AK28" s="31">
        <f t="shared" si="1"/>
        <v>2</v>
      </c>
      <c r="AL28" s="29"/>
      <c r="AM28" s="29"/>
      <c r="AN28" s="71"/>
      <c r="AO28" s="71" t="s">
        <v>222</v>
      </c>
      <c r="AP28" s="71" t="s">
        <v>455</v>
      </c>
      <c r="AQ28" s="83" t="s">
        <v>29</v>
      </c>
      <c r="AR28" s="71"/>
      <c r="AS28" s="71"/>
      <c r="AT28" s="71"/>
      <c r="AU28" s="71" t="s">
        <v>365</v>
      </c>
      <c r="AV28" s="71" t="s">
        <v>370</v>
      </c>
      <c r="AW28" s="83" t="b">
        <f t="shared" si="3"/>
        <v>0</v>
      </c>
      <c r="AX28" s="66"/>
      <c r="AY28" s="66"/>
      <c r="AZ28" s="66"/>
      <c r="BA28" s="66"/>
    </row>
    <row r="30" spans="1:53" ht="25.5" x14ac:dyDescent="0.25">
      <c r="AR30" s="44" t="s">
        <v>201</v>
      </c>
      <c r="AS30" s="44"/>
    </row>
    <row r="31" spans="1:53" x14ac:dyDescent="0.25">
      <c r="AR31" s="35" t="s">
        <v>202</v>
      </c>
    </row>
    <row r="32" spans="1:53" x14ac:dyDescent="0.25">
      <c r="AM32" s="2" t="s">
        <v>310</v>
      </c>
      <c r="AN32" s="35" t="s">
        <v>233</v>
      </c>
      <c r="AO32" s="44" t="s">
        <v>203</v>
      </c>
      <c r="AP32" s="44"/>
      <c r="AQ32" s="44"/>
    </row>
    <row r="33" spans="1:45" ht="25.5" x14ac:dyDescent="0.25">
      <c r="AM33" s="2" t="s">
        <v>311</v>
      </c>
      <c r="AO33" s="35" t="s">
        <v>204</v>
      </c>
    </row>
    <row r="34" spans="1:45" ht="25.5" x14ac:dyDescent="0.25">
      <c r="AM34" s="2" t="s">
        <v>312</v>
      </c>
      <c r="AO34" s="35" t="s">
        <v>205</v>
      </c>
    </row>
    <row r="35" spans="1:45" x14ac:dyDescent="0.25">
      <c r="A35" s="35"/>
      <c r="B35" s="35"/>
      <c r="C35" s="35"/>
      <c r="D35" s="35"/>
      <c r="E35" s="35"/>
      <c r="F35" s="4"/>
      <c r="G35" s="35"/>
      <c r="H35" s="35"/>
      <c r="I35" s="35"/>
      <c r="J35" s="35"/>
      <c r="K35" s="35"/>
      <c r="L35" s="35"/>
      <c r="M35" s="35"/>
      <c r="N35" s="35"/>
      <c r="O35" s="35"/>
      <c r="P35" s="35"/>
      <c r="Q35" s="35"/>
      <c r="R35" s="84"/>
      <c r="S35" s="35"/>
      <c r="T35" s="35"/>
      <c r="U35" s="35"/>
      <c r="V35" s="35"/>
      <c r="W35" s="35"/>
      <c r="X35" s="35"/>
      <c r="Y35" s="35"/>
      <c r="Z35" s="35"/>
      <c r="AA35" s="35"/>
      <c r="AB35" s="35"/>
      <c r="AC35" s="35"/>
      <c r="AD35" s="35"/>
      <c r="AE35" s="35"/>
      <c r="AF35" s="35"/>
      <c r="AG35" s="35"/>
      <c r="AH35" s="35"/>
      <c r="AI35" s="35"/>
      <c r="AJ35" s="35"/>
      <c r="AK35" s="35"/>
      <c r="AL35" s="35"/>
      <c r="AM35" s="102" t="s">
        <v>313</v>
      </c>
      <c r="AO35" s="84" t="s">
        <v>206</v>
      </c>
      <c r="AP35" s="84"/>
      <c r="AQ35" s="153"/>
    </row>
    <row r="36" spans="1:45" x14ac:dyDescent="0.25">
      <c r="E36" s="158"/>
      <c r="AM36" s="2" t="s">
        <v>314</v>
      </c>
      <c r="AO36" s="84" t="s">
        <v>207</v>
      </c>
      <c r="AP36" s="84"/>
      <c r="AQ36" s="153"/>
    </row>
    <row r="37" spans="1:45" x14ac:dyDescent="0.25">
      <c r="E37" s="158"/>
      <c r="AM37" s="2" t="s">
        <v>315</v>
      </c>
      <c r="AO37" s="35" t="s">
        <v>208</v>
      </c>
    </row>
    <row r="38" spans="1:45" x14ac:dyDescent="0.25">
      <c r="E38" s="158"/>
      <c r="AM38" s="2" t="s">
        <v>316</v>
      </c>
      <c r="AO38" s="35" t="s">
        <v>214</v>
      </c>
    </row>
    <row r="39" spans="1:45" ht="25.5" x14ac:dyDescent="0.25">
      <c r="E39" s="158"/>
      <c r="AM39" s="2" t="s">
        <v>168</v>
      </c>
      <c r="AR39" s="35" t="s">
        <v>228</v>
      </c>
    </row>
    <row r="40" spans="1:45" ht="25.5" x14ac:dyDescent="0.25">
      <c r="E40" s="158"/>
      <c r="AM40" s="2" t="s">
        <v>324</v>
      </c>
      <c r="AR40" s="35" t="s">
        <v>229</v>
      </c>
    </row>
    <row r="41" spans="1:45" x14ac:dyDescent="0.25">
      <c r="E41" s="158"/>
      <c r="AR41" s="35" t="s">
        <v>230</v>
      </c>
    </row>
    <row r="42" spans="1:45" x14ac:dyDescent="0.25">
      <c r="E42" s="158"/>
      <c r="AR42" s="84" t="s">
        <v>231</v>
      </c>
      <c r="AS42" s="84"/>
    </row>
    <row r="43" spans="1:45" x14ac:dyDescent="0.25">
      <c r="E43" s="158"/>
      <c r="AO43" s="35" t="s">
        <v>232</v>
      </c>
      <c r="AR43" s="84" t="s">
        <v>234</v>
      </c>
      <c r="AS43" s="84"/>
    </row>
    <row r="44" spans="1:45" x14ac:dyDescent="0.25">
      <c r="E44" s="158"/>
    </row>
    <row r="45" spans="1:45" x14ac:dyDescent="0.25">
      <c r="E45" s="158"/>
      <c r="AR45" s="84" t="s">
        <v>235</v>
      </c>
      <c r="AS45" s="84"/>
    </row>
    <row r="46" spans="1:45" x14ac:dyDescent="0.25">
      <c r="AR46" s="84" t="s">
        <v>236</v>
      </c>
      <c r="AS46" s="84"/>
    </row>
    <row r="47" spans="1:45" x14ac:dyDescent="0.25">
      <c r="E47" s="158"/>
    </row>
    <row r="48" spans="1:45" x14ac:dyDescent="0.25">
      <c r="E48" s="158"/>
    </row>
    <row r="49" spans="5:5" x14ac:dyDescent="0.25">
      <c r="E49" s="158"/>
    </row>
    <row r="52" spans="5:5" x14ac:dyDescent="0.25">
      <c r="E52" s="158"/>
    </row>
    <row r="53" spans="5:5" x14ac:dyDescent="0.25">
      <c r="E53" s="158"/>
    </row>
    <row r="54" spans="5:5" x14ac:dyDescent="0.25">
      <c r="E54" s="158"/>
    </row>
    <row r="55" spans="5:5" x14ac:dyDescent="0.25">
      <c r="E55" s="158"/>
    </row>
    <row r="56" spans="5:5" x14ac:dyDescent="0.25">
      <c r="E56" s="158"/>
    </row>
    <row r="57" spans="5:5" x14ac:dyDescent="0.25">
      <c r="E57" s="158"/>
    </row>
    <row r="66" spans="5:5" x14ac:dyDescent="0.25">
      <c r="E66" s="158"/>
    </row>
    <row r="67" spans="5:5" x14ac:dyDescent="0.25">
      <c r="E67" s="158"/>
    </row>
    <row r="68" spans="5:5" x14ac:dyDescent="0.25">
      <c r="E68" s="158"/>
    </row>
    <row r="69" spans="5:5" x14ac:dyDescent="0.25">
      <c r="E69" s="158"/>
    </row>
    <row r="99" spans="5:5" x14ac:dyDescent="0.25">
      <c r="E99" s="158"/>
    </row>
    <row r="100" spans="5:5" x14ac:dyDescent="0.25">
      <c r="E100" s="158"/>
    </row>
    <row r="102" spans="5:5" x14ac:dyDescent="0.25">
      <c r="E102" s="158"/>
    </row>
    <row r="103" spans="5:5" x14ac:dyDescent="0.25">
      <c r="E103" s="158"/>
    </row>
    <row r="104" spans="5:5" x14ac:dyDescent="0.25">
      <c r="E104" s="158"/>
    </row>
    <row r="105" spans="5:5" x14ac:dyDescent="0.25">
      <c r="E105" s="158"/>
    </row>
  </sheetData>
  <autoFilter ref="A1:BA28" xr:uid="{00000000-0001-0000-0200-000000000000}"/>
  <mergeCells count="32">
    <mergeCell ref="D24:D28"/>
    <mergeCell ref="D18:D23"/>
    <mergeCell ref="B2:B5"/>
    <mergeCell ref="C2:C5"/>
    <mergeCell ref="D6:D9"/>
    <mergeCell ref="D2:D5"/>
    <mergeCell ref="B6:B9"/>
    <mergeCell ref="B14:B17"/>
    <mergeCell ref="C6:C9"/>
    <mergeCell ref="E36:E40"/>
    <mergeCell ref="B10:B13"/>
    <mergeCell ref="C10:C13"/>
    <mergeCell ref="D10:D13"/>
    <mergeCell ref="D14:D17"/>
    <mergeCell ref="E18:E23"/>
    <mergeCell ref="C14:C17"/>
    <mergeCell ref="E14:E17"/>
    <mergeCell ref="E6:E9"/>
    <mergeCell ref="E10:E13"/>
    <mergeCell ref="C18:C23"/>
    <mergeCell ref="B18:B23"/>
    <mergeCell ref="B24:B28"/>
    <mergeCell ref="C24:C28"/>
    <mergeCell ref="E52:E53"/>
    <mergeCell ref="E102:E105"/>
    <mergeCell ref="E54:E57"/>
    <mergeCell ref="E99:E100"/>
    <mergeCell ref="E2:E5"/>
    <mergeCell ref="E47:E49"/>
    <mergeCell ref="E66:E69"/>
    <mergeCell ref="E41:E42"/>
    <mergeCell ref="E43:E45"/>
  </mergeCells>
  <dataValidations disablePrompts="1" count="1">
    <dataValidation type="list" allowBlank="1" showInputMessage="1" showErrorMessage="1" sqref="BA2 BA18:BA20 BA6:BA14 AZ2:AZ28 BA24" xr:uid="{00000000-0002-0000-0200-000000000000}">
      <formula1>"'++  Significativement positif,'+   Marginalement positif,'=  Sans impact, '-   Marginalement négatif, '--  Significativement négatif"</formula1>
    </dataValidation>
  </dataValidations>
  <pageMargins left="0.70866141732283472" right="0.70866141732283472" top="0.74803149606299213" bottom="0.74803149606299213" header="0.31496062992125984" footer="0.31496062992125984"/>
  <pageSetup paperSize="9" scale="58" orientation="landscape" r:id="rId1"/>
  <headerFooter>
    <oddHeader>&amp;F</oddHeader>
    <oddFooter>&amp;A&amp;RPage &amp;P</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199" id="{35E5DB49-3952-48AC-91C9-0F6B0E9E4E19}">
            <x14:iconSet iconSet="3Stars" showValue="0">
              <x14:cfvo type="percent">
                <xm:f>0</xm:f>
              </x14:cfvo>
              <x14:cfvo type="percent">
                <xm:f>33</xm:f>
              </x14:cfvo>
              <x14:cfvo type="percent">
                <xm:f>67</xm:f>
              </x14:cfvo>
            </x14:iconSet>
          </x14:cfRule>
          <xm:sqref>I2:Q28</xm:sqref>
        </x14:conditionalFormatting>
        <x14:conditionalFormatting xmlns:xm="http://schemas.microsoft.com/office/excel/2006/main">
          <x14:cfRule type="iconSet" priority="200" id="{984DA4E9-6C20-4257-8EA9-33370C4E222D}">
            <x14:iconSet iconSet="3Stars" showValue="0">
              <x14:cfvo type="percent">
                <xm:f>0</xm:f>
              </x14:cfvo>
              <x14:cfvo type="percent">
                <xm:f>33</xm:f>
              </x14:cfvo>
              <x14:cfvo type="percent">
                <xm:f>67</xm:f>
              </x14:cfvo>
            </x14:iconSet>
          </x14:cfRule>
          <xm:sqref>AE2:AJ28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tabColor theme="5" tint="0.39997558519241921"/>
  </sheetPr>
  <dimension ref="A1:L75"/>
  <sheetViews>
    <sheetView topLeftCell="E1" zoomScale="85" zoomScaleNormal="85" workbookViewId="0">
      <selection activeCell="K11" sqref="K11"/>
    </sheetView>
  </sheetViews>
  <sheetFormatPr baseColWidth="10" defaultRowHeight="15" x14ac:dyDescent="0.25"/>
  <cols>
    <col min="1" max="1" width="23.28515625" bestFit="1" customWidth="1"/>
    <col min="2" max="2" width="23.85546875" bestFit="1" customWidth="1"/>
    <col min="3" max="3" width="5.85546875" bestFit="1" customWidth="1"/>
    <col min="4" max="4" width="6.28515625" bestFit="1" customWidth="1"/>
    <col min="5" max="5" width="12.5703125" bestFit="1" customWidth="1"/>
    <col min="6" max="6" width="8.140625" bestFit="1" customWidth="1"/>
    <col min="7" max="8" width="12.5703125" customWidth="1"/>
    <col min="9" max="9" width="28.42578125" bestFit="1" customWidth="1"/>
    <col min="11" max="11" width="16.85546875" bestFit="1" customWidth="1"/>
    <col min="12" max="12" width="108" bestFit="1" customWidth="1"/>
    <col min="13" max="13" width="5.42578125" bestFit="1" customWidth="1"/>
    <col min="14" max="14" width="29.5703125" bestFit="1" customWidth="1"/>
    <col min="15" max="15" width="25.85546875" bestFit="1" customWidth="1"/>
    <col min="16" max="18" width="21.85546875" bestFit="1" customWidth="1"/>
  </cols>
  <sheetData>
    <row r="1" spans="1:12" x14ac:dyDescent="0.25">
      <c r="A1" s="7" t="s">
        <v>123</v>
      </c>
      <c r="B1" t="s">
        <v>196</v>
      </c>
    </row>
    <row r="2" spans="1:12" x14ac:dyDescent="0.25">
      <c r="A2" s="7" t="s">
        <v>308</v>
      </c>
      <c r="B2" t="s">
        <v>57</v>
      </c>
    </row>
    <row r="4" spans="1:12" x14ac:dyDescent="0.25">
      <c r="B4" s="7" t="s">
        <v>58</v>
      </c>
      <c r="K4" s="7" t="s">
        <v>341</v>
      </c>
      <c r="L4" s="7" t="s">
        <v>96</v>
      </c>
    </row>
    <row r="5" spans="1:12" x14ac:dyDescent="0.25">
      <c r="B5" t="s">
        <v>60</v>
      </c>
      <c r="C5" t="s">
        <v>61</v>
      </c>
      <c r="D5" t="s">
        <v>56</v>
      </c>
      <c r="K5" t="s">
        <v>249</v>
      </c>
      <c r="L5" t="s">
        <v>338</v>
      </c>
    </row>
    <row r="6" spans="1:12" x14ac:dyDescent="0.25">
      <c r="A6" s="7" t="s">
        <v>59</v>
      </c>
      <c r="L6" t="s">
        <v>258</v>
      </c>
    </row>
    <row r="7" spans="1:12" x14ac:dyDescent="0.25">
      <c r="A7" s="8" t="s">
        <v>187</v>
      </c>
      <c r="B7" s="6">
        <v>34</v>
      </c>
      <c r="C7" s="6">
        <v>46</v>
      </c>
      <c r="D7" s="6">
        <v>80</v>
      </c>
      <c r="L7" t="s">
        <v>240</v>
      </c>
    </row>
    <row r="8" spans="1:12" x14ac:dyDescent="0.25">
      <c r="A8" s="8" t="s">
        <v>62</v>
      </c>
      <c r="B8" s="6">
        <v>18</v>
      </c>
      <c r="C8" s="6">
        <v>15</v>
      </c>
      <c r="D8" s="6">
        <v>33</v>
      </c>
      <c r="L8" t="s">
        <v>134</v>
      </c>
    </row>
    <row r="9" spans="1:12" x14ac:dyDescent="0.25">
      <c r="A9" s="8" t="s">
        <v>63</v>
      </c>
      <c r="B9" s="6">
        <v>4</v>
      </c>
      <c r="C9" s="6">
        <v>19</v>
      </c>
      <c r="D9" s="6">
        <v>23</v>
      </c>
      <c r="L9" t="s">
        <v>128</v>
      </c>
    </row>
    <row r="10" spans="1:12" ht="30" customHeight="1" x14ac:dyDescent="0.25">
      <c r="A10" s="8" t="s">
        <v>3</v>
      </c>
      <c r="B10" s="6">
        <v>2</v>
      </c>
      <c r="C10" s="6">
        <v>11</v>
      </c>
      <c r="D10" s="6">
        <v>13</v>
      </c>
      <c r="L10" t="s">
        <v>127</v>
      </c>
    </row>
    <row r="11" spans="1:12" x14ac:dyDescent="0.25">
      <c r="A11" s="8" t="s">
        <v>64</v>
      </c>
      <c r="B11" s="6"/>
      <c r="C11" s="6">
        <v>36</v>
      </c>
      <c r="D11" s="6">
        <v>36</v>
      </c>
      <c r="K11" t="s">
        <v>344</v>
      </c>
      <c r="L11" t="s">
        <v>256</v>
      </c>
    </row>
    <row r="12" spans="1:12" x14ac:dyDescent="0.25">
      <c r="A12" s="8" t="s">
        <v>65</v>
      </c>
      <c r="B12" s="6">
        <v>7</v>
      </c>
      <c r="C12" s="6">
        <v>20</v>
      </c>
      <c r="D12" s="6">
        <v>27</v>
      </c>
      <c r="L12" t="s">
        <v>255</v>
      </c>
    </row>
    <row r="13" spans="1:12" x14ac:dyDescent="0.25">
      <c r="K13" t="s">
        <v>107</v>
      </c>
      <c r="L13" t="s">
        <v>109</v>
      </c>
    </row>
    <row r="14" spans="1:12" x14ac:dyDescent="0.25">
      <c r="L14" t="s">
        <v>135</v>
      </c>
    </row>
    <row r="15" spans="1:12" x14ac:dyDescent="0.25">
      <c r="L15" t="s">
        <v>129</v>
      </c>
    </row>
    <row r="16" spans="1:12" x14ac:dyDescent="0.25">
      <c r="K16" t="s">
        <v>342</v>
      </c>
      <c r="L16" t="s">
        <v>264</v>
      </c>
    </row>
    <row r="17" spans="11:12" ht="15" customHeight="1" x14ac:dyDescent="0.25">
      <c r="L17" t="s">
        <v>266</v>
      </c>
    </row>
    <row r="18" spans="11:12" x14ac:dyDescent="0.25">
      <c r="L18" t="s">
        <v>335</v>
      </c>
    </row>
    <row r="19" spans="11:12" x14ac:dyDescent="0.25">
      <c r="L19" t="s">
        <v>133</v>
      </c>
    </row>
    <row r="20" spans="11:12" x14ac:dyDescent="0.25">
      <c r="K20" t="s">
        <v>2</v>
      </c>
      <c r="L20" t="s">
        <v>101</v>
      </c>
    </row>
    <row r="21" spans="11:12" x14ac:dyDescent="0.25">
      <c r="L21" t="s">
        <v>130</v>
      </c>
    </row>
    <row r="22" spans="11:12" ht="45" customHeight="1" x14ac:dyDescent="0.25">
      <c r="L22" t="s">
        <v>125</v>
      </c>
    </row>
    <row r="23" spans="11:12" ht="30" customHeight="1" x14ac:dyDescent="0.25">
      <c r="K23" t="s">
        <v>1</v>
      </c>
      <c r="L23" t="s">
        <v>126</v>
      </c>
    </row>
    <row r="24" spans="11:12" x14ac:dyDescent="0.25">
      <c r="L24" t="s">
        <v>131</v>
      </c>
    </row>
    <row r="25" spans="11:12" x14ac:dyDescent="0.25">
      <c r="L25" t="s">
        <v>132</v>
      </c>
    </row>
    <row r="26" spans="11:12" x14ac:dyDescent="0.25">
      <c r="K26" t="s">
        <v>343</v>
      </c>
      <c r="L26" t="s">
        <v>336</v>
      </c>
    </row>
    <row r="27" spans="11:12" x14ac:dyDescent="0.25">
      <c r="L27" t="s">
        <v>337</v>
      </c>
    </row>
    <row r="28" spans="11:12" x14ac:dyDescent="0.25">
      <c r="L28" t="s">
        <v>156</v>
      </c>
    </row>
    <row r="29" spans="11:12" x14ac:dyDescent="0.25">
      <c r="L29" t="s">
        <v>257</v>
      </c>
    </row>
    <row r="30" spans="11:12" x14ac:dyDescent="0.25">
      <c r="K30" t="s">
        <v>334</v>
      </c>
      <c r="L30" t="s">
        <v>18</v>
      </c>
    </row>
    <row r="31" spans="11:12" x14ac:dyDescent="0.25">
      <c r="L31" t="s">
        <v>110</v>
      </c>
    </row>
    <row r="32" spans="11:12" x14ac:dyDescent="0.25">
      <c r="L32" t="s">
        <v>17</v>
      </c>
    </row>
    <row r="33" spans="1:12" x14ac:dyDescent="0.25">
      <c r="L33" t="s">
        <v>19</v>
      </c>
    </row>
    <row r="34" spans="1:12" x14ac:dyDescent="0.25">
      <c r="L34" t="s">
        <v>103</v>
      </c>
    </row>
    <row r="35" spans="1:12" x14ac:dyDescent="0.25">
      <c r="L35" t="s">
        <v>265</v>
      </c>
    </row>
    <row r="36" spans="1:12" x14ac:dyDescent="0.25">
      <c r="K36" t="s">
        <v>97</v>
      </c>
      <c r="L36" t="s">
        <v>175</v>
      </c>
    </row>
    <row r="37" spans="1:12" x14ac:dyDescent="0.25">
      <c r="L37" t="s">
        <v>157</v>
      </c>
    </row>
    <row r="38" spans="1:12" x14ac:dyDescent="0.25">
      <c r="L38" t="s">
        <v>185</v>
      </c>
    </row>
    <row r="39" spans="1:12" x14ac:dyDescent="0.25">
      <c r="K39" t="s">
        <v>339</v>
      </c>
      <c r="L39" t="s">
        <v>339</v>
      </c>
    </row>
    <row r="40" spans="1:12" x14ac:dyDescent="0.25">
      <c r="K40" t="s">
        <v>56</v>
      </c>
    </row>
    <row r="41" spans="1:12" x14ac:dyDescent="0.25">
      <c r="A41" s="7" t="s">
        <v>162</v>
      </c>
      <c r="B41" t="s">
        <v>196</v>
      </c>
    </row>
    <row r="42" spans="1:12" ht="30" customHeight="1" x14ac:dyDescent="0.25"/>
    <row r="43" spans="1:12" x14ac:dyDescent="0.25">
      <c r="A43" s="7" t="s">
        <v>161</v>
      </c>
      <c r="B43" s="7" t="s">
        <v>58</v>
      </c>
    </row>
    <row r="44" spans="1:12" x14ac:dyDescent="0.25">
      <c r="A44" s="7" t="s">
        <v>115</v>
      </c>
      <c r="B44" t="s">
        <v>57</v>
      </c>
      <c r="C44" t="s">
        <v>159</v>
      </c>
      <c r="D44" t="s">
        <v>339</v>
      </c>
      <c r="E44" t="s">
        <v>56</v>
      </c>
    </row>
    <row r="45" spans="1:12" x14ac:dyDescent="0.25">
      <c r="A45" s="8" t="s">
        <v>6</v>
      </c>
      <c r="B45" s="6">
        <v>18</v>
      </c>
      <c r="C45" s="6">
        <v>1</v>
      </c>
      <c r="D45" s="6"/>
      <c r="E45" s="6">
        <v>19</v>
      </c>
    </row>
    <row r="46" spans="1:12" x14ac:dyDescent="0.25">
      <c r="A46" s="8" t="s">
        <v>5</v>
      </c>
      <c r="B46" s="6">
        <v>7</v>
      </c>
      <c r="C46" s="6"/>
      <c r="D46" s="6"/>
      <c r="E46" s="6">
        <v>7</v>
      </c>
    </row>
    <row r="47" spans="1:12" x14ac:dyDescent="0.25">
      <c r="A47" s="8" t="s">
        <v>16</v>
      </c>
      <c r="B47" s="6">
        <v>11</v>
      </c>
      <c r="C47" s="6"/>
      <c r="D47" s="6"/>
      <c r="E47" s="6">
        <v>11</v>
      </c>
    </row>
    <row r="48" spans="1:12" x14ac:dyDescent="0.25">
      <c r="A48" s="8" t="s">
        <v>28</v>
      </c>
      <c r="B48" s="6">
        <v>1</v>
      </c>
      <c r="C48" s="6"/>
      <c r="D48" s="6"/>
      <c r="E48" s="6">
        <v>1</v>
      </c>
    </row>
    <row r="49" spans="1:5" ht="15" customHeight="1" x14ac:dyDescent="0.25">
      <c r="A49" s="8" t="s">
        <v>160</v>
      </c>
      <c r="B49" s="6">
        <v>18</v>
      </c>
      <c r="C49" s="6">
        <v>4</v>
      </c>
      <c r="D49" s="6">
        <v>2</v>
      </c>
      <c r="E49" s="6">
        <v>24</v>
      </c>
    </row>
    <row r="50" spans="1:5" x14ac:dyDescent="0.25">
      <c r="A50" s="8" t="s">
        <v>339</v>
      </c>
      <c r="B50" s="6"/>
      <c r="C50" s="6"/>
      <c r="D50" s="6"/>
      <c r="E50" s="6"/>
    </row>
    <row r="51" spans="1:5" x14ac:dyDescent="0.25">
      <c r="A51" s="8" t="s">
        <v>184</v>
      </c>
      <c r="B51" s="6">
        <v>41</v>
      </c>
      <c r="C51" s="6">
        <v>13</v>
      </c>
      <c r="D51" s="6">
        <v>3</v>
      </c>
      <c r="E51" s="6">
        <v>57</v>
      </c>
    </row>
    <row r="52" spans="1:5" x14ac:dyDescent="0.25">
      <c r="A52" s="8" t="s">
        <v>340</v>
      </c>
      <c r="B52" s="6">
        <v>1</v>
      </c>
      <c r="C52" s="6"/>
      <c r="D52" s="6"/>
      <c r="E52" s="6">
        <v>1</v>
      </c>
    </row>
    <row r="53" spans="1:5" x14ac:dyDescent="0.25">
      <c r="A53" s="8" t="s">
        <v>118</v>
      </c>
      <c r="B53" s="6">
        <v>2</v>
      </c>
      <c r="C53" s="6">
        <v>4</v>
      </c>
      <c r="D53" s="6">
        <v>1</v>
      </c>
      <c r="E53" s="6">
        <v>7</v>
      </c>
    </row>
    <row r="54" spans="1:5" x14ac:dyDescent="0.25">
      <c r="A54" s="8" t="s">
        <v>254</v>
      </c>
      <c r="B54" s="6">
        <v>3</v>
      </c>
      <c r="C54" s="6"/>
      <c r="D54" s="6"/>
      <c r="E54" s="6">
        <v>3</v>
      </c>
    </row>
    <row r="55" spans="1:5" ht="30" customHeight="1" x14ac:dyDescent="0.25">
      <c r="A55" s="8" t="s">
        <v>56</v>
      </c>
      <c r="B55" s="6">
        <v>102</v>
      </c>
      <c r="C55" s="6">
        <v>22</v>
      </c>
      <c r="D55" s="6">
        <v>6</v>
      </c>
      <c r="E55" s="6">
        <v>130</v>
      </c>
    </row>
    <row r="64" spans="1:5" ht="30" customHeight="1" x14ac:dyDescent="0.25"/>
    <row r="69" ht="15" customHeight="1" x14ac:dyDescent="0.25"/>
    <row r="75" ht="30" customHeight="1" x14ac:dyDescent="0.25"/>
  </sheetData>
  <pageMargins left="0.7" right="0.7" top="0.75" bottom="0.75" header="0.3" footer="0.3"/>
  <pageSetup paperSize="9"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9E1ED-CD43-43A8-981A-FB819AEC1C5C}">
  <sheetPr>
    <tabColor theme="9"/>
  </sheetPr>
  <dimension ref="A1:R13"/>
  <sheetViews>
    <sheetView zoomScale="70" zoomScaleNormal="70" workbookViewId="0">
      <pane xSplit="3" ySplit="1" topLeftCell="D2" activePane="bottomRight" state="frozen"/>
      <selection pane="topRight" activeCell="C1" sqref="C1"/>
      <selection pane="bottomLeft" activeCell="A2" sqref="A2"/>
      <selection pane="bottomRight" activeCell="J1" sqref="J1:J1048576"/>
    </sheetView>
  </sheetViews>
  <sheetFormatPr baseColWidth="10" defaultColWidth="9.140625" defaultRowHeight="15" outlineLevelCol="1" x14ac:dyDescent="0.25"/>
  <cols>
    <col min="1" max="1" width="26.85546875" style="1" customWidth="1"/>
    <col min="2" max="2" width="41" style="1" customWidth="1"/>
    <col min="3" max="3" width="29.85546875" customWidth="1" outlineLevel="1"/>
    <col min="4" max="8" width="29.85546875" style="1" customWidth="1" outlineLevel="1"/>
    <col min="9" max="10" width="29.85546875" style="1" customWidth="1"/>
    <col min="11" max="11" width="29.140625" customWidth="1"/>
    <col min="12" max="12" width="39.28515625" customWidth="1"/>
    <col min="13" max="13" width="42.140625" customWidth="1"/>
  </cols>
  <sheetData>
    <row r="1" spans="1:18" s="1" customFormat="1" ht="51.75" customHeight="1" x14ac:dyDescent="0.25">
      <c r="A1" s="1" t="s">
        <v>0</v>
      </c>
      <c r="B1" s="46" t="s">
        <v>503</v>
      </c>
      <c r="C1" s="92" t="s">
        <v>420</v>
      </c>
      <c r="D1" s="92" t="s">
        <v>421</v>
      </c>
      <c r="E1" s="92" t="s">
        <v>422</v>
      </c>
      <c r="F1" s="92" t="s">
        <v>423</v>
      </c>
      <c r="G1" s="92" t="s">
        <v>424</v>
      </c>
      <c r="H1" s="92" t="s">
        <v>425</v>
      </c>
      <c r="I1" s="92" t="s">
        <v>427</v>
      </c>
      <c r="J1" s="92" t="s">
        <v>512</v>
      </c>
      <c r="K1" s="1" t="s">
        <v>504</v>
      </c>
      <c r="L1" s="1" t="s">
        <v>505</v>
      </c>
      <c r="M1" s="1" t="s">
        <v>506</v>
      </c>
      <c r="N1" s="1" t="s">
        <v>507</v>
      </c>
      <c r="O1" s="1" t="s">
        <v>508</v>
      </c>
      <c r="P1" s="1" t="s">
        <v>509</v>
      </c>
      <c r="Q1" s="1" t="s">
        <v>510</v>
      </c>
      <c r="R1" s="1" t="s">
        <v>511</v>
      </c>
    </row>
    <row r="2" spans="1:18" ht="90" x14ac:dyDescent="0.25">
      <c r="A2" s="1" t="s">
        <v>250</v>
      </c>
      <c r="B2" s="11" t="s">
        <v>426</v>
      </c>
      <c r="C2" s="1" t="s">
        <v>441</v>
      </c>
      <c r="D2" s="1" t="s">
        <v>397</v>
      </c>
      <c r="E2" s="1" t="s">
        <v>477</v>
      </c>
      <c r="F2" s="1" t="s">
        <v>432</v>
      </c>
      <c r="G2" s="1" t="s">
        <v>488</v>
      </c>
      <c r="H2" s="1" t="s">
        <v>481</v>
      </c>
      <c r="I2" s="157"/>
      <c r="J2" s="157">
        <f>SUM(Tableau13[[#This Row],[Colonne1]:[Colonne8]])</f>
        <v>9</v>
      </c>
      <c r="K2" s="6">
        <f t="shared" ref="K2:K13" si="0">IF(ISBLANK(B2),0,LEN(B2)-LEN(SUBSTITUTE(B2,CHAR(10),""))+1)</f>
        <v>1</v>
      </c>
      <c r="L2" s="6">
        <f t="shared" ref="L2:L13" si="1">IF(ISBLANK(C2),0,LEN(C2)-LEN(SUBSTITUTE(C2,CHAR(10),""))+1)</f>
        <v>3</v>
      </c>
      <c r="M2" s="6">
        <f t="shared" ref="M2:M13" si="2">IF(ISBLANK(D2),0,LEN(D2)-LEN(SUBSTITUTE(D2,CHAR(10),""))+1)</f>
        <v>1</v>
      </c>
      <c r="N2" s="6">
        <f t="shared" ref="N2:N13" si="3">IF(ISBLANK(E2),0,LEN(E2)-LEN(SUBSTITUTE(E2,CHAR(10),""))+1)</f>
        <v>1</v>
      </c>
      <c r="O2" s="6">
        <f t="shared" ref="O2:O13" si="4">IF(ISBLANK(F2),0,LEN(F2)-LEN(SUBSTITUTE(F2,CHAR(10),""))+1)</f>
        <v>1</v>
      </c>
      <c r="P2" s="6">
        <f t="shared" ref="P2:P13" si="5">IF(ISBLANK(G2),0,LEN(G2)-LEN(SUBSTITUTE(G2,CHAR(10),""))+1)</f>
        <v>1</v>
      </c>
      <c r="Q2" s="6">
        <f t="shared" ref="Q2:Q13" si="6">IF(ISBLANK(H2),0,LEN(H2)-LEN(SUBSTITUTE(H2,CHAR(10),""))+1)</f>
        <v>1</v>
      </c>
      <c r="R2" s="6">
        <f t="shared" ref="R2:R13" si="7">IF(ISBLANK(I2),0,LEN(I2)-LEN(SUBSTITUTE(I2,CHAR(10),""))+1)</f>
        <v>0</v>
      </c>
    </row>
    <row r="3" spans="1:18" ht="60" x14ac:dyDescent="0.25">
      <c r="A3" s="1" t="s">
        <v>241</v>
      </c>
      <c r="B3" s="12" t="s">
        <v>428</v>
      </c>
      <c r="C3" s="118"/>
      <c r="D3" s="9" t="s">
        <v>457</v>
      </c>
      <c r="F3" s="118"/>
      <c r="H3" s="9"/>
      <c r="J3" s="1">
        <f>SUM(Tableau13[[#This Row],[Colonne1]:[Colonne8]])</f>
        <v>4</v>
      </c>
      <c r="K3">
        <f t="shared" si="0"/>
        <v>2</v>
      </c>
      <c r="L3">
        <f t="shared" si="1"/>
        <v>0</v>
      </c>
      <c r="M3">
        <f t="shared" si="2"/>
        <v>2</v>
      </c>
      <c r="N3" s="6">
        <f t="shared" si="3"/>
        <v>0</v>
      </c>
      <c r="O3" s="6">
        <f t="shared" si="4"/>
        <v>0</v>
      </c>
      <c r="P3" s="6">
        <f t="shared" si="5"/>
        <v>0</v>
      </c>
      <c r="Q3" s="6">
        <f t="shared" si="6"/>
        <v>0</v>
      </c>
      <c r="R3" s="6">
        <f t="shared" si="7"/>
        <v>0</v>
      </c>
    </row>
    <row r="4" spans="1:18" ht="60" x14ac:dyDescent="0.25">
      <c r="A4" s="1" t="s">
        <v>248</v>
      </c>
      <c r="B4" s="12" t="s">
        <v>431</v>
      </c>
      <c r="C4" s="9"/>
      <c r="D4" s="1" t="s">
        <v>462</v>
      </c>
      <c r="E4" s="9" t="s">
        <v>407</v>
      </c>
      <c r="F4" s="1" t="s">
        <v>433</v>
      </c>
      <c r="J4" s="1">
        <f>SUM(Tableau13[[#This Row],[Colonne1]:[Colonne8]])</f>
        <v>5</v>
      </c>
      <c r="K4">
        <f t="shared" si="0"/>
        <v>1</v>
      </c>
      <c r="L4">
        <f t="shared" si="1"/>
        <v>0</v>
      </c>
      <c r="M4">
        <f t="shared" si="2"/>
        <v>1</v>
      </c>
      <c r="N4" s="6">
        <f t="shared" si="3"/>
        <v>1</v>
      </c>
      <c r="O4" s="6">
        <f t="shared" si="4"/>
        <v>2</v>
      </c>
      <c r="P4" s="6">
        <f t="shared" si="5"/>
        <v>0</v>
      </c>
      <c r="Q4" s="6">
        <f t="shared" si="6"/>
        <v>0</v>
      </c>
      <c r="R4" s="6">
        <f t="shared" si="7"/>
        <v>0</v>
      </c>
    </row>
    <row r="5" spans="1:18" x14ac:dyDescent="0.25">
      <c r="A5" s="1" t="s">
        <v>6</v>
      </c>
      <c r="B5" s="13"/>
      <c r="C5" s="119"/>
      <c r="D5" s="119"/>
      <c r="E5" s="5"/>
      <c r="F5" s="119"/>
      <c r="G5" s="5"/>
      <c r="H5" s="5"/>
      <c r="I5" s="119"/>
      <c r="J5" s="119">
        <f>SUM(Tableau13[[#This Row],[Colonne1]:[Colonne8]])</f>
        <v>0</v>
      </c>
      <c r="K5">
        <f t="shared" si="0"/>
        <v>0</v>
      </c>
      <c r="L5">
        <f t="shared" si="1"/>
        <v>0</v>
      </c>
      <c r="M5">
        <f t="shared" si="2"/>
        <v>0</v>
      </c>
      <c r="N5" s="6">
        <f t="shared" si="3"/>
        <v>0</v>
      </c>
      <c r="O5" s="6">
        <f t="shared" si="4"/>
        <v>0</v>
      </c>
      <c r="P5" s="6">
        <f t="shared" si="5"/>
        <v>0</v>
      </c>
      <c r="Q5" s="6">
        <f t="shared" si="6"/>
        <v>0</v>
      </c>
      <c r="R5" s="6">
        <f t="shared" si="7"/>
        <v>0</v>
      </c>
    </row>
    <row r="6" spans="1:18" ht="150" x14ac:dyDescent="0.25">
      <c r="A6" s="1" t="s">
        <v>332</v>
      </c>
      <c r="B6" s="119"/>
      <c r="C6" s="1"/>
      <c r="D6" s="5"/>
      <c r="E6" s="1" t="s">
        <v>480</v>
      </c>
      <c r="I6" s="5"/>
      <c r="J6" s="5">
        <f>SUM(Tableau13[[#This Row],[Colonne1]:[Colonne8]])</f>
        <v>5</v>
      </c>
      <c r="K6">
        <f t="shared" si="0"/>
        <v>0</v>
      </c>
      <c r="L6">
        <f t="shared" si="1"/>
        <v>0</v>
      </c>
      <c r="M6">
        <f t="shared" si="2"/>
        <v>0</v>
      </c>
      <c r="N6" s="6">
        <f t="shared" si="3"/>
        <v>5</v>
      </c>
      <c r="O6" s="6">
        <f t="shared" si="4"/>
        <v>0</v>
      </c>
      <c r="P6" s="6">
        <f t="shared" si="5"/>
        <v>0</v>
      </c>
      <c r="Q6" s="6">
        <f t="shared" si="6"/>
        <v>0</v>
      </c>
      <c r="R6" s="6">
        <f t="shared" si="7"/>
        <v>0</v>
      </c>
    </row>
    <row r="7" spans="1:18" x14ac:dyDescent="0.25">
      <c r="A7" s="92" t="s">
        <v>333</v>
      </c>
      <c r="B7" s="12"/>
      <c r="C7" s="92"/>
      <c r="D7" s="93"/>
      <c r="E7" s="92"/>
      <c r="F7" s="92"/>
      <c r="G7" s="92"/>
      <c r="H7" s="92"/>
      <c r="I7" s="93"/>
      <c r="J7" s="93">
        <f>SUM(Tableau13[[#This Row],[Colonne1]:[Colonne8]])</f>
        <v>0</v>
      </c>
      <c r="K7">
        <f t="shared" si="0"/>
        <v>0</v>
      </c>
      <c r="L7">
        <f t="shared" si="1"/>
        <v>0</v>
      </c>
      <c r="M7">
        <f t="shared" si="2"/>
        <v>0</v>
      </c>
      <c r="N7" s="6">
        <f t="shared" si="3"/>
        <v>0</v>
      </c>
      <c r="O7" s="6">
        <f t="shared" si="4"/>
        <v>0</v>
      </c>
      <c r="P7" s="6">
        <f t="shared" si="5"/>
        <v>0</v>
      </c>
      <c r="Q7" s="6">
        <f t="shared" si="6"/>
        <v>0</v>
      </c>
      <c r="R7" s="6">
        <f t="shared" si="7"/>
        <v>0</v>
      </c>
    </row>
    <row r="8" spans="1:18" x14ac:dyDescent="0.25">
      <c r="A8" s="1" t="s">
        <v>186</v>
      </c>
      <c r="B8" s="12" t="s">
        <v>482</v>
      </c>
      <c r="C8" s="5"/>
      <c r="D8" s="9"/>
      <c r="E8" s="5"/>
      <c r="F8" s="5"/>
      <c r="G8" s="5"/>
      <c r="H8" s="5"/>
      <c r="I8" s="9"/>
      <c r="J8" s="9">
        <f>SUM(Tableau13[[#This Row],[Colonne1]:[Colonne8]])</f>
        <v>1</v>
      </c>
      <c r="K8">
        <f t="shared" si="0"/>
        <v>1</v>
      </c>
      <c r="L8">
        <f t="shared" si="1"/>
        <v>0</v>
      </c>
      <c r="M8">
        <f t="shared" si="2"/>
        <v>0</v>
      </c>
      <c r="N8" s="6">
        <f t="shared" si="3"/>
        <v>0</v>
      </c>
      <c r="O8" s="6">
        <f t="shared" si="4"/>
        <v>0</v>
      </c>
      <c r="P8" s="6">
        <f t="shared" si="5"/>
        <v>0</v>
      </c>
      <c r="Q8" s="6">
        <f t="shared" si="6"/>
        <v>0</v>
      </c>
      <c r="R8" s="6">
        <f t="shared" si="7"/>
        <v>0</v>
      </c>
    </row>
    <row r="9" spans="1:18" x14ac:dyDescent="0.25">
      <c r="A9" s="1" t="s">
        <v>163</v>
      </c>
      <c r="B9" s="12" t="s">
        <v>483</v>
      </c>
      <c r="C9" s="1"/>
      <c r="D9" s="96"/>
      <c r="E9" s="95"/>
      <c r="F9" s="97"/>
      <c r="G9" s="5"/>
      <c r="H9" s="97"/>
      <c r="J9" s="1">
        <f>SUM(Tableau13[[#This Row],[Colonne1]:[Colonne8]])</f>
        <v>1</v>
      </c>
      <c r="K9">
        <f t="shared" si="0"/>
        <v>1</v>
      </c>
      <c r="L9">
        <f t="shared" si="1"/>
        <v>0</v>
      </c>
      <c r="M9">
        <f t="shared" si="2"/>
        <v>0</v>
      </c>
      <c r="N9" s="6">
        <f t="shared" si="3"/>
        <v>0</v>
      </c>
      <c r="O9" s="6">
        <f t="shared" si="4"/>
        <v>0</v>
      </c>
      <c r="P9" s="6">
        <f t="shared" si="5"/>
        <v>0</v>
      </c>
      <c r="Q9" s="6">
        <f t="shared" si="6"/>
        <v>0</v>
      </c>
      <c r="R9" s="6">
        <f t="shared" si="7"/>
        <v>0</v>
      </c>
    </row>
    <row r="10" spans="1:18" x14ac:dyDescent="0.25">
      <c r="A10" s="1" t="s">
        <v>359</v>
      </c>
      <c r="B10" s="119"/>
      <c r="C10" s="5"/>
      <c r="D10" s="9"/>
      <c r="E10" s="5"/>
      <c r="F10" s="5"/>
      <c r="G10" s="5"/>
      <c r="H10" s="5"/>
      <c r="I10" s="5"/>
      <c r="J10" s="5">
        <f>SUM(Tableau13[[#This Row],[Colonne1]:[Colonne8]])</f>
        <v>0</v>
      </c>
      <c r="K10">
        <f t="shared" si="0"/>
        <v>0</v>
      </c>
      <c r="L10">
        <f t="shared" si="1"/>
        <v>0</v>
      </c>
      <c r="M10">
        <f t="shared" si="2"/>
        <v>0</v>
      </c>
      <c r="N10" s="6">
        <f t="shared" si="3"/>
        <v>0</v>
      </c>
      <c r="O10" s="6">
        <f t="shared" si="4"/>
        <v>0</v>
      </c>
      <c r="P10" s="6">
        <f t="shared" si="5"/>
        <v>0</v>
      </c>
      <c r="Q10" s="6">
        <f t="shared" si="6"/>
        <v>0</v>
      </c>
      <c r="R10" s="6">
        <f t="shared" si="7"/>
        <v>0</v>
      </c>
    </row>
    <row r="11" spans="1:18" ht="90" x14ac:dyDescent="0.25">
      <c r="A11" s="118" t="s">
        <v>358</v>
      </c>
      <c r="B11" s="12" t="s">
        <v>430</v>
      </c>
      <c r="C11" s="125" t="s">
        <v>456</v>
      </c>
      <c r="D11" s="124" t="s">
        <v>464</v>
      </c>
      <c r="E11" s="125" t="s">
        <v>479</v>
      </c>
      <c r="F11" s="124" t="s">
        <v>440</v>
      </c>
      <c r="G11" s="125" t="s">
        <v>490</v>
      </c>
      <c r="H11" s="125"/>
      <c r="I11" s="125"/>
      <c r="J11" s="125">
        <f>SUM(Tableau13[[#This Row],[Colonne1]:[Colonne8]])</f>
        <v>15</v>
      </c>
      <c r="K11">
        <f t="shared" si="0"/>
        <v>5</v>
      </c>
      <c r="L11">
        <f t="shared" si="1"/>
        <v>2</v>
      </c>
      <c r="M11">
        <f t="shared" si="2"/>
        <v>1</v>
      </c>
      <c r="N11" s="6">
        <f t="shared" si="3"/>
        <v>3</v>
      </c>
      <c r="O11" s="6">
        <f t="shared" si="4"/>
        <v>3</v>
      </c>
      <c r="P11" s="6">
        <f t="shared" si="5"/>
        <v>1</v>
      </c>
      <c r="Q11" s="6">
        <f t="shared" si="6"/>
        <v>0</v>
      </c>
      <c r="R11" s="6">
        <f t="shared" si="7"/>
        <v>0</v>
      </c>
    </row>
    <row r="12" spans="1:18" ht="45" x14ac:dyDescent="0.25">
      <c r="A12" s="1" t="s">
        <v>381</v>
      </c>
      <c r="B12" s="11" t="s">
        <v>429</v>
      </c>
      <c r="C12" s="1"/>
      <c r="D12" s="9" t="s">
        <v>398</v>
      </c>
      <c r="E12" s="9"/>
      <c r="F12" s="9"/>
      <c r="G12" s="9"/>
      <c r="H12" s="9"/>
      <c r="I12" s="9"/>
      <c r="J12" s="9">
        <f>SUM(Tableau13[[#This Row],[Colonne1]:[Colonne8]])</f>
        <v>4</v>
      </c>
      <c r="K12">
        <f t="shared" si="0"/>
        <v>3</v>
      </c>
      <c r="L12">
        <f t="shared" si="1"/>
        <v>0</v>
      </c>
      <c r="M12">
        <f t="shared" si="2"/>
        <v>1</v>
      </c>
      <c r="N12" s="6">
        <f t="shared" si="3"/>
        <v>0</v>
      </c>
      <c r="O12" s="6">
        <f t="shared" si="4"/>
        <v>0</v>
      </c>
      <c r="P12" s="6">
        <f t="shared" si="5"/>
        <v>0</v>
      </c>
      <c r="Q12" s="6">
        <f t="shared" si="6"/>
        <v>0</v>
      </c>
      <c r="R12" s="6">
        <f t="shared" si="7"/>
        <v>0</v>
      </c>
    </row>
    <row r="13" spans="1:18" ht="30" x14ac:dyDescent="0.25">
      <c r="A13" s="1" t="s">
        <v>380</v>
      </c>
      <c r="B13" s="119"/>
      <c r="C13" s="1"/>
      <c r="D13" s="9"/>
      <c r="E13" s="9"/>
      <c r="F13" s="9"/>
      <c r="G13" s="9"/>
      <c r="H13" s="9"/>
      <c r="I13" s="9"/>
      <c r="J13" s="9">
        <f>SUM(Tableau13[[#This Row],[Colonne1]:[Colonne8]])</f>
        <v>0</v>
      </c>
      <c r="K13">
        <f t="shared" si="0"/>
        <v>0</v>
      </c>
      <c r="L13">
        <f t="shared" si="1"/>
        <v>0</v>
      </c>
      <c r="M13">
        <f t="shared" si="2"/>
        <v>0</v>
      </c>
      <c r="N13" s="6">
        <f t="shared" si="3"/>
        <v>0</v>
      </c>
      <c r="O13" s="6">
        <f t="shared" si="4"/>
        <v>0</v>
      </c>
      <c r="P13" s="6">
        <f t="shared" si="5"/>
        <v>0</v>
      </c>
      <c r="Q13" s="6">
        <f t="shared" si="6"/>
        <v>0</v>
      </c>
      <c r="R13" s="6">
        <f t="shared" si="7"/>
        <v>0</v>
      </c>
    </row>
  </sheetData>
  <phoneticPr fontId="13" type="noConversion"/>
  <pageMargins left="0.70866141732283472" right="0.70866141732283472" top="0.74803149606299213" bottom="0.74803149606299213" header="0.31496062992125984" footer="0.31496062992125984"/>
  <pageSetup paperSize="9" scale="58" orientation="landscape" r:id="rId1"/>
  <headerFooter>
    <oddHeader>&amp;F</oddHeader>
    <oddFooter>&amp;A&amp;RPage &amp;P</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1F1B5-9C1F-486F-B8D3-29A42D56B579}">
  <dimension ref="A1:D68"/>
  <sheetViews>
    <sheetView workbookViewId="0">
      <selection activeCell="B1" sqref="B1:B1048576"/>
    </sheetView>
  </sheetViews>
  <sheetFormatPr baseColWidth="10" defaultRowHeight="15" x14ac:dyDescent="0.25"/>
  <cols>
    <col min="1" max="1" width="35.42578125" style="35" customWidth="1"/>
    <col min="3" max="3" width="34.140625" style="44" customWidth="1"/>
  </cols>
  <sheetData>
    <row r="1" spans="1:4" x14ac:dyDescent="0.25">
      <c r="A1" s="54" t="s">
        <v>501</v>
      </c>
      <c r="C1" s="64" t="s">
        <v>502</v>
      </c>
    </row>
    <row r="2" spans="1:4" x14ac:dyDescent="0.25">
      <c r="A2" s="155" t="s">
        <v>443</v>
      </c>
      <c r="B2" s="6">
        <f>LEN(A2)-LEN(SUBSTITUTE(A2,CHAR(10),""))+1</f>
        <v>1</v>
      </c>
      <c r="C2" s="148" t="s">
        <v>444</v>
      </c>
      <c r="D2" s="6">
        <f>LEN(C2)-LEN(SUBSTITUTE(C2,CHAR(10),""))+1</f>
        <v>1</v>
      </c>
    </row>
    <row r="3" spans="1:4" x14ac:dyDescent="0.25">
      <c r="A3" s="70" t="s">
        <v>411</v>
      </c>
      <c r="B3" s="6">
        <f t="shared" ref="B3:B60" si="0">LEN(A3)-LEN(SUBSTITUTE(A3,CHAR(10),""))+1</f>
        <v>1</v>
      </c>
      <c r="C3" s="149" t="s">
        <v>442</v>
      </c>
      <c r="D3" s="6">
        <f t="shared" ref="D3:D15" si="1">LEN(C3)-LEN(SUBSTITUTE(C3,CHAR(10),""))+1</f>
        <v>1</v>
      </c>
    </row>
    <row r="4" spans="1:4" ht="25.5" x14ac:dyDescent="0.25">
      <c r="A4" s="70" t="s">
        <v>446</v>
      </c>
      <c r="B4" s="6">
        <f t="shared" si="0"/>
        <v>2</v>
      </c>
      <c r="C4" s="148" t="s">
        <v>414</v>
      </c>
      <c r="D4" s="6">
        <f t="shared" si="1"/>
        <v>1</v>
      </c>
    </row>
    <row r="5" spans="1:4" ht="38.25" x14ac:dyDescent="0.25">
      <c r="A5" s="77" t="s">
        <v>445</v>
      </c>
      <c r="B5" s="6">
        <f t="shared" si="0"/>
        <v>1</v>
      </c>
      <c r="C5" s="98" t="s">
        <v>436</v>
      </c>
      <c r="D5" s="6">
        <f t="shared" si="1"/>
        <v>3</v>
      </c>
    </row>
    <row r="6" spans="1:4" ht="25.5" x14ac:dyDescent="0.25">
      <c r="A6" s="72" t="s">
        <v>447</v>
      </c>
      <c r="B6" s="6">
        <f t="shared" si="0"/>
        <v>1</v>
      </c>
      <c r="C6" s="154" t="s">
        <v>499</v>
      </c>
      <c r="D6" s="6">
        <f t="shared" si="1"/>
        <v>2</v>
      </c>
    </row>
    <row r="7" spans="1:4" x14ac:dyDescent="0.25">
      <c r="A7" s="70" t="s">
        <v>449</v>
      </c>
      <c r="B7" s="6">
        <f t="shared" si="0"/>
        <v>1</v>
      </c>
      <c r="C7" s="148" t="s">
        <v>492</v>
      </c>
      <c r="D7" s="6">
        <f t="shared" si="1"/>
        <v>1</v>
      </c>
    </row>
    <row r="8" spans="1:4" x14ac:dyDescent="0.25">
      <c r="A8" s="71" t="s">
        <v>416</v>
      </c>
      <c r="B8" s="6">
        <f t="shared" si="0"/>
        <v>1</v>
      </c>
      <c r="C8" s="87" t="s">
        <v>405</v>
      </c>
      <c r="D8" s="6">
        <f t="shared" si="1"/>
        <v>1</v>
      </c>
    </row>
    <row r="9" spans="1:4" ht="89.25" x14ac:dyDescent="0.25">
      <c r="A9" s="72" t="s">
        <v>454</v>
      </c>
      <c r="B9" s="6">
        <f t="shared" si="0"/>
        <v>1</v>
      </c>
      <c r="C9" s="145" t="s">
        <v>484</v>
      </c>
      <c r="D9" s="6">
        <f t="shared" si="1"/>
        <v>7</v>
      </c>
    </row>
    <row r="10" spans="1:4" x14ac:dyDescent="0.25">
      <c r="A10" s="103" t="s">
        <v>413</v>
      </c>
      <c r="B10" s="6">
        <f t="shared" si="0"/>
        <v>1</v>
      </c>
      <c r="C10" s="91" t="s">
        <v>461</v>
      </c>
      <c r="D10" s="6">
        <f t="shared" si="1"/>
        <v>1</v>
      </c>
    </row>
    <row r="11" spans="1:4" x14ac:dyDescent="0.25">
      <c r="A11" s="73" t="s">
        <v>412</v>
      </c>
      <c r="B11" s="6">
        <f t="shared" si="0"/>
        <v>1</v>
      </c>
      <c r="C11" s="147" t="s">
        <v>393</v>
      </c>
      <c r="D11" s="6">
        <f t="shared" si="1"/>
        <v>1</v>
      </c>
    </row>
    <row r="12" spans="1:4" x14ac:dyDescent="0.25">
      <c r="A12" s="156" t="s">
        <v>451</v>
      </c>
      <c r="B12" s="6">
        <f t="shared" si="0"/>
        <v>1</v>
      </c>
      <c r="C12" s="148" t="s">
        <v>401</v>
      </c>
      <c r="D12" s="6">
        <f t="shared" si="1"/>
        <v>1</v>
      </c>
    </row>
    <row r="13" spans="1:4" x14ac:dyDescent="0.25">
      <c r="A13" s="70" t="s">
        <v>415</v>
      </c>
      <c r="B13" s="6">
        <f t="shared" si="0"/>
        <v>1</v>
      </c>
      <c r="C13" s="91" t="s">
        <v>400</v>
      </c>
      <c r="D13" s="6">
        <f t="shared" si="1"/>
        <v>1</v>
      </c>
    </row>
    <row r="14" spans="1:4" ht="25.5" x14ac:dyDescent="0.25">
      <c r="A14" s="150" t="s">
        <v>409</v>
      </c>
      <c r="B14" s="6">
        <f t="shared" si="0"/>
        <v>1</v>
      </c>
      <c r="C14" s="86" t="s">
        <v>472</v>
      </c>
      <c r="D14" s="6">
        <f t="shared" si="1"/>
        <v>2</v>
      </c>
    </row>
    <row r="15" spans="1:4" ht="51" x14ac:dyDescent="0.25">
      <c r="A15" s="72" t="s">
        <v>497</v>
      </c>
      <c r="B15" s="6">
        <f t="shared" si="0"/>
        <v>1</v>
      </c>
      <c r="C15" s="86" t="s">
        <v>466</v>
      </c>
      <c r="D15" s="6">
        <f t="shared" si="1"/>
        <v>4</v>
      </c>
    </row>
    <row r="16" spans="1:4" x14ac:dyDescent="0.25">
      <c r="A16" s="70" t="s">
        <v>453</v>
      </c>
      <c r="B16" s="6">
        <f t="shared" si="0"/>
        <v>1</v>
      </c>
      <c r="D16" s="6"/>
    </row>
    <row r="17" spans="1:4" x14ac:dyDescent="0.25">
      <c r="A17" s="70" t="s">
        <v>452</v>
      </c>
      <c r="B17" s="6">
        <f t="shared" si="0"/>
        <v>1</v>
      </c>
      <c r="D17" s="6"/>
    </row>
    <row r="18" spans="1:4" x14ac:dyDescent="0.25">
      <c r="A18" s="70" t="s">
        <v>450</v>
      </c>
      <c r="B18" s="6">
        <f t="shared" si="0"/>
        <v>1</v>
      </c>
      <c r="D18" s="6"/>
    </row>
    <row r="19" spans="1:4" x14ac:dyDescent="0.25">
      <c r="A19" s="71" t="s">
        <v>416</v>
      </c>
      <c r="B19" s="6">
        <f t="shared" si="0"/>
        <v>1</v>
      </c>
      <c r="D19" s="6"/>
    </row>
    <row r="20" spans="1:4" x14ac:dyDescent="0.25">
      <c r="A20" s="71" t="s">
        <v>455</v>
      </c>
      <c r="B20" s="6">
        <f t="shared" si="0"/>
        <v>1</v>
      </c>
      <c r="D20" s="6"/>
    </row>
    <row r="21" spans="1:4" x14ac:dyDescent="0.25">
      <c r="A21" s="70" t="s">
        <v>435</v>
      </c>
      <c r="B21" s="6">
        <f t="shared" si="0"/>
        <v>1</v>
      </c>
      <c r="D21" s="6"/>
    </row>
    <row r="22" spans="1:4" x14ac:dyDescent="0.25">
      <c r="A22" s="70" t="s">
        <v>434</v>
      </c>
      <c r="B22" s="6">
        <f t="shared" si="0"/>
        <v>1</v>
      </c>
      <c r="C22" s="35"/>
      <c r="D22" s="6"/>
    </row>
    <row r="23" spans="1:4" x14ac:dyDescent="0.25">
      <c r="A23" s="70" t="s">
        <v>438</v>
      </c>
      <c r="B23" s="6">
        <f t="shared" si="0"/>
        <v>1</v>
      </c>
      <c r="D23" s="6"/>
    </row>
    <row r="24" spans="1:4" x14ac:dyDescent="0.25">
      <c r="A24" s="74" t="s">
        <v>396</v>
      </c>
      <c r="B24" s="6">
        <f t="shared" si="0"/>
        <v>1</v>
      </c>
      <c r="D24" s="6"/>
    </row>
    <row r="25" spans="1:4" x14ac:dyDescent="0.25">
      <c r="A25" s="69" t="s">
        <v>498</v>
      </c>
      <c r="B25" s="6">
        <f t="shared" si="0"/>
        <v>1</v>
      </c>
      <c r="D25" s="6"/>
    </row>
    <row r="26" spans="1:4" ht="25.5" x14ac:dyDescent="0.25">
      <c r="A26" s="69" t="s">
        <v>470</v>
      </c>
      <c r="B26" s="6">
        <f t="shared" si="0"/>
        <v>2</v>
      </c>
      <c r="D26" s="6"/>
    </row>
    <row r="27" spans="1:4" x14ac:dyDescent="0.25">
      <c r="A27" s="70" t="s">
        <v>500</v>
      </c>
      <c r="B27" s="6">
        <f t="shared" si="0"/>
        <v>1</v>
      </c>
      <c r="D27" s="6"/>
    </row>
    <row r="28" spans="1:4" x14ac:dyDescent="0.25">
      <c r="A28" s="156" t="s">
        <v>491</v>
      </c>
      <c r="B28" s="6">
        <f t="shared" si="0"/>
        <v>1</v>
      </c>
      <c r="D28" s="6"/>
    </row>
    <row r="29" spans="1:4" x14ac:dyDescent="0.25">
      <c r="A29" s="71" t="s">
        <v>402</v>
      </c>
      <c r="B29" s="6">
        <f t="shared" si="0"/>
        <v>1</v>
      </c>
      <c r="D29" s="6"/>
    </row>
    <row r="30" spans="1:4" x14ac:dyDescent="0.25">
      <c r="A30" s="75" t="s">
        <v>439</v>
      </c>
      <c r="B30" s="6">
        <f t="shared" si="0"/>
        <v>1</v>
      </c>
      <c r="D30" s="6"/>
    </row>
    <row r="31" spans="1:4" ht="25.5" x14ac:dyDescent="0.25">
      <c r="A31" s="76" t="s">
        <v>403</v>
      </c>
      <c r="B31" s="6">
        <f t="shared" si="0"/>
        <v>2</v>
      </c>
      <c r="D31" s="6"/>
    </row>
    <row r="32" spans="1:4" x14ac:dyDescent="0.25">
      <c r="A32" s="76" t="s">
        <v>495</v>
      </c>
      <c r="B32" s="6">
        <f t="shared" si="0"/>
        <v>1</v>
      </c>
      <c r="D32" s="6"/>
    </row>
    <row r="33" spans="1:4" x14ac:dyDescent="0.25">
      <c r="A33" s="71" t="s">
        <v>404</v>
      </c>
      <c r="B33" s="6">
        <f t="shared" si="0"/>
        <v>1</v>
      </c>
      <c r="D33" s="6"/>
    </row>
    <row r="34" spans="1:4" x14ac:dyDescent="0.25">
      <c r="A34" s="72" t="s">
        <v>407</v>
      </c>
      <c r="B34" s="6">
        <f t="shared" si="0"/>
        <v>1</v>
      </c>
      <c r="D34" s="6"/>
    </row>
    <row r="35" spans="1:4" x14ac:dyDescent="0.25">
      <c r="A35" s="103" t="s">
        <v>406</v>
      </c>
      <c r="B35" s="6">
        <f t="shared" si="0"/>
        <v>1</v>
      </c>
      <c r="D35" s="6"/>
    </row>
    <row r="36" spans="1:4" x14ac:dyDescent="0.25">
      <c r="A36" s="70" t="s">
        <v>489</v>
      </c>
      <c r="B36" s="6">
        <f t="shared" si="0"/>
        <v>1</v>
      </c>
      <c r="D36" s="6"/>
    </row>
    <row r="37" spans="1:4" x14ac:dyDescent="0.25">
      <c r="A37" s="70" t="s">
        <v>478</v>
      </c>
      <c r="B37" s="6">
        <f t="shared" si="0"/>
        <v>1</v>
      </c>
      <c r="D37" s="6"/>
    </row>
    <row r="38" spans="1:4" x14ac:dyDescent="0.25">
      <c r="A38" s="74" t="s">
        <v>485</v>
      </c>
      <c r="B38" s="6">
        <f t="shared" si="0"/>
        <v>1</v>
      </c>
      <c r="D38" s="6"/>
    </row>
    <row r="39" spans="1:4" ht="25.5" x14ac:dyDescent="0.25">
      <c r="A39" s="74" t="s">
        <v>486</v>
      </c>
      <c r="B39" s="6">
        <f t="shared" si="0"/>
        <v>2</v>
      </c>
      <c r="D39" s="6"/>
    </row>
    <row r="40" spans="1:4" x14ac:dyDescent="0.25">
      <c r="A40" s="103" t="s">
        <v>487</v>
      </c>
      <c r="B40" s="6">
        <f t="shared" si="0"/>
        <v>1</v>
      </c>
      <c r="D40" s="6"/>
    </row>
    <row r="41" spans="1:4" x14ac:dyDescent="0.25">
      <c r="A41" s="76" t="s">
        <v>493</v>
      </c>
      <c r="B41" s="6">
        <f t="shared" si="0"/>
        <v>1</v>
      </c>
      <c r="D41" s="6"/>
    </row>
    <row r="42" spans="1:4" x14ac:dyDescent="0.25">
      <c r="A42" s="72" t="s">
        <v>460</v>
      </c>
      <c r="B42" s="6">
        <f t="shared" si="0"/>
        <v>1</v>
      </c>
      <c r="D42" s="6"/>
    </row>
    <row r="43" spans="1:4" ht="25.5" x14ac:dyDescent="0.25">
      <c r="A43" s="70" t="s">
        <v>463</v>
      </c>
      <c r="B43" s="6">
        <f t="shared" si="0"/>
        <v>2</v>
      </c>
      <c r="D43" s="6"/>
    </row>
    <row r="44" spans="1:4" x14ac:dyDescent="0.25">
      <c r="A44" s="71" t="s">
        <v>395</v>
      </c>
      <c r="B44" s="6">
        <f t="shared" si="0"/>
        <v>1</v>
      </c>
      <c r="D44" s="6"/>
    </row>
    <row r="45" spans="1:4" x14ac:dyDescent="0.25">
      <c r="A45" s="70" t="s">
        <v>471</v>
      </c>
      <c r="B45" s="6">
        <f t="shared" si="0"/>
        <v>1</v>
      </c>
      <c r="D45" s="6"/>
    </row>
    <row r="46" spans="1:4" x14ac:dyDescent="0.25">
      <c r="A46" s="71" t="s">
        <v>394</v>
      </c>
      <c r="B46" s="6">
        <f t="shared" si="0"/>
        <v>1</v>
      </c>
      <c r="D46" s="6"/>
    </row>
    <row r="47" spans="1:4" ht="25.5" x14ac:dyDescent="0.25">
      <c r="A47" s="69" t="s">
        <v>458</v>
      </c>
      <c r="B47" s="6">
        <f t="shared" si="0"/>
        <v>2</v>
      </c>
      <c r="D47" s="6"/>
    </row>
    <row r="48" spans="1:4" ht="25.5" x14ac:dyDescent="0.25">
      <c r="A48" s="103" t="s">
        <v>459</v>
      </c>
      <c r="B48" s="6">
        <f t="shared" si="0"/>
        <v>2</v>
      </c>
      <c r="D48" s="6"/>
    </row>
    <row r="49" spans="1:4" ht="25.5" x14ac:dyDescent="0.25">
      <c r="A49" s="72" t="s">
        <v>469</v>
      </c>
      <c r="B49" s="6">
        <f t="shared" si="0"/>
        <v>2</v>
      </c>
      <c r="D49" s="6"/>
    </row>
    <row r="50" spans="1:4" ht="25.5" x14ac:dyDescent="0.25">
      <c r="A50" s="70" t="s">
        <v>467</v>
      </c>
      <c r="B50" s="6">
        <f t="shared" si="0"/>
        <v>2</v>
      </c>
      <c r="D50" s="6"/>
    </row>
    <row r="51" spans="1:4" x14ac:dyDescent="0.25">
      <c r="A51" s="70" t="s">
        <v>494</v>
      </c>
      <c r="B51" s="6">
        <f t="shared" si="0"/>
        <v>1</v>
      </c>
      <c r="D51" s="6"/>
    </row>
    <row r="52" spans="1:4" x14ac:dyDescent="0.25">
      <c r="A52" s="73" t="s">
        <v>468</v>
      </c>
      <c r="B52" s="6">
        <f t="shared" si="0"/>
        <v>1</v>
      </c>
      <c r="D52" s="6"/>
    </row>
    <row r="53" spans="1:4" x14ac:dyDescent="0.25">
      <c r="A53" s="72" t="s">
        <v>474</v>
      </c>
      <c r="B53" s="6">
        <f t="shared" si="0"/>
        <v>1</v>
      </c>
      <c r="D53" s="6"/>
    </row>
    <row r="54" spans="1:4" x14ac:dyDescent="0.25">
      <c r="A54" s="70" t="s">
        <v>473</v>
      </c>
      <c r="B54" s="6">
        <f t="shared" si="0"/>
        <v>1</v>
      </c>
      <c r="D54" s="6"/>
    </row>
    <row r="55" spans="1:4" x14ac:dyDescent="0.25">
      <c r="A55" s="73" t="s">
        <v>475</v>
      </c>
      <c r="B55" s="6">
        <f t="shared" si="0"/>
        <v>1</v>
      </c>
      <c r="D55" s="6"/>
    </row>
    <row r="56" spans="1:4" x14ac:dyDescent="0.25">
      <c r="A56" s="72" t="s">
        <v>408</v>
      </c>
      <c r="B56" s="6">
        <f t="shared" si="0"/>
        <v>1</v>
      </c>
      <c r="D56" s="6"/>
    </row>
    <row r="57" spans="1:4" ht="25.5" x14ac:dyDescent="0.25">
      <c r="A57" s="73" t="s">
        <v>476</v>
      </c>
      <c r="B57" s="6">
        <f t="shared" si="0"/>
        <v>2</v>
      </c>
      <c r="D57" s="6"/>
    </row>
    <row r="58" spans="1:4" x14ac:dyDescent="0.25">
      <c r="A58" s="78" t="s">
        <v>465</v>
      </c>
      <c r="B58" s="6">
        <f t="shared" si="0"/>
        <v>1</v>
      </c>
      <c r="D58" s="6"/>
    </row>
    <row r="59" spans="1:4" x14ac:dyDescent="0.25">
      <c r="A59" s="144" t="s">
        <v>437</v>
      </c>
      <c r="B59" s="6">
        <f t="shared" si="0"/>
        <v>1</v>
      </c>
      <c r="D59" s="6"/>
    </row>
    <row r="60" spans="1:4" x14ac:dyDescent="0.25">
      <c r="A60" s="71" t="s">
        <v>399</v>
      </c>
      <c r="B60" s="6">
        <f t="shared" si="0"/>
        <v>1</v>
      </c>
      <c r="D60" s="6"/>
    </row>
    <row r="64" spans="1:4" x14ac:dyDescent="0.25">
      <c r="A64" s="44"/>
    </row>
    <row r="67" spans="1:1" x14ac:dyDescent="0.25">
      <c r="A67" s="84"/>
    </row>
    <row r="68" spans="1:1" x14ac:dyDescent="0.25">
      <c r="A68" s="84"/>
    </row>
  </sheetData>
  <autoFilter ref="A1:A19" xr:uid="{AEC1F1B5-9C1F-486F-B8D3-29A42D56B57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vt:i4>
      </vt:variant>
    </vt:vector>
  </HeadingPairs>
  <TitlesOfParts>
    <vt:vector size="8" baseType="lpstr">
      <vt:lpstr>Introduction</vt:lpstr>
      <vt:lpstr>Engagements</vt:lpstr>
      <vt:lpstr>Engagements transport</vt:lpstr>
      <vt:lpstr>Leviers</vt:lpstr>
      <vt:lpstr>Synthèse chantiers-leviers</vt:lpstr>
      <vt:lpstr>Grist Engagements</vt:lpstr>
      <vt:lpstr>Grist chantiers-leviers</vt:lpstr>
      <vt:lpstr>Introduction!Zone_d_impression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2026-01-14T10:26:33Z</dcterms:modified>
</cp:coreProperties>
</file>